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yos\OneDrive\ドキュメント\VSCode_Dev\PythonDev\ic-test-ai-agent\SampleData\CLC-01\"/>
    </mc:Choice>
  </mc:AlternateContent>
  <xr:revisionPtr revIDLastSave="0" documentId="13_ncr:1_{231E2C15-1D26-4D74-B26C-26CAE190F3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受講者一覧" sheetId="1" r:id="rId1"/>
    <sheet name="実施概要" sheetId="2" r:id="rId2"/>
  </sheets>
  <calcPr calcId="0"/>
</workbook>
</file>

<file path=xl/calcChain.xml><?xml version="1.0" encoding="utf-8"?>
<calcChain xmlns="http://schemas.openxmlformats.org/spreadsheetml/2006/main">
  <c r="B9" i="2" l="1"/>
  <c r="B8" i="2"/>
  <c r="B7" i="2"/>
  <c r="B6" i="2"/>
</calcChain>
</file>

<file path=xl/sharedStrings.xml><?xml version="1.0" encoding="utf-8"?>
<sst xmlns="http://schemas.openxmlformats.org/spreadsheetml/2006/main" count="329" uniqueCount="158">
  <si>
    <t>氏名</t>
  </si>
  <si>
    <t>所属</t>
  </si>
  <si>
    <t>役職</t>
  </si>
  <si>
    <t>入社日</t>
  </si>
  <si>
    <t>研修受講日</t>
  </si>
  <si>
    <t>受講状況</t>
  </si>
  <si>
    <t>督促実施日</t>
  </si>
  <si>
    <t>備考</t>
  </si>
  <si>
    <t>TTC0001</t>
  </si>
  <si>
    <t>田中 太郎</t>
  </si>
  <si>
    <t>内部監査室</t>
  </si>
  <si>
    <t>スタッフ</t>
  </si>
  <si>
    <t>受講済</t>
  </si>
  <si>
    <t>TTC0002</t>
  </si>
  <si>
    <t>田中 美優</t>
  </si>
  <si>
    <t>人事総務部</t>
  </si>
  <si>
    <t>主任</t>
  </si>
  <si>
    <t>TTC0003</t>
  </si>
  <si>
    <t>山本 直子</t>
  </si>
  <si>
    <t>品質保証部</t>
  </si>
  <si>
    <t>係長</t>
  </si>
  <si>
    <t>TTC0004</t>
  </si>
  <si>
    <t>林 玲奈</t>
  </si>
  <si>
    <t>情報システム部</t>
  </si>
  <si>
    <t>TTC0005</t>
  </si>
  <si>
    <t>渡辺 玲奈</t>
  </si>
  <si>
    <t>営業二部</t>
  </si>
  <si>
    <t>TTC0006</t>
  </si>
  <si>
    <t>高橋 悠斗</t>
  </si>
  <si>
    <t>TTC0007</t>
  </si>
  <si>
    <t>鈴木 健太</t>
  </si>
  <si>
    <t>未受講</t>
  </si>
  <si>
    <t>12/09 人事総務部より受講督促メール送付（未完了）</t>
  </si>
  <si>
    <t>TTC0008</t>
  </si>
  <si>
    <t>加藤 麻衣</t>
  </si>
  <si>
    <t>TTC0009</t>
  </si>
  <si>
    <t>中村 彩</t>
  </si>
  <si>
    <t>課長</t>
  </si>
  <si>
    <t>TTC0010</t>
  </si>
  <si>
    <t>小林 健太</t>
  </si>
  <si>
    <t>法務コンプライアンス室</t>
  </si>
  <si>
    <t>TTC0011</t>
  </si>
  <si>
    <t>山本 拓海</t>
  </si>
  <si>
    <t>部長</t>
  </si>
  <si>
    <t>TTC0012</t>
  </si>
  <si>
    <t>渡辺 美優</t>
  </si>
  <si>
    <t>TTC0013</t>
  </si>
  <si>
    <t>林 直子</t>
  </si>
  <si>
    <t>TTC0014</t>
  </si>
  <si>
    <t>鈴木 亮</t>
  </si>
  <si>
    <t>購買部</t>
  </si>
  <si>
    <t>TTC0015</t>
  </si>
  <si>
    <t>吉田 大輔</t>
  </si>
  <si>
    <t>TTC0016</t>
  </si>
  <si>
    <t>小林 翔</t>
  </si>
  <si>
    <t>TTC0017</t>
  </si>
  <si>
    <t>清水 玲奈</t>
  </si>
  <si>
    <t>製造部</t>
  </si>
  <si>
    <t>TTC0018</t>
  </si>
  <si>
    <t>井上 健</t>
  </si>
  <si>
    <t>経営企画部</t>
  </si>
  <si>
    <t>TTC0019</t>
  </si>
  <si>
    <t>斎藤 麻衣</t>
  </si>
  <si>
    <t>TTC0020</t>
  </si>
  <si>
    <t>小林 美優</t>
  </si>
  <si>
    <t>TTC0021</t>
  </si>
  <si>
    <t>小林 亮</t>
  </si>
  <si>
    <t>TTC0022</t>
  </si>
  <si>
    <t>小林 颯太</t>
  </si>
  <si>
    <t>経理部</t>
  </si>
  <si>
    <t>TTC0023</t>
  </si>
  <si>
    <t>木村 麻衣</t>
  </si>
  <si>
    <t>TTC0024</t>
  </si>
  <si>
    <t>木村 太郎</t>
  </si>
  <si>
    <t>TTC0025</t>
  </si>
  <si>
    <t>加藤 直子</t>
  </si>
  <si>
    <t>TTC0026</t>
  </si>
  <si>
    <t>TTC0027</t>
  </si>
  <si>
    <t>林 結衣</t>
  </si>
  <si>
    <t>営業一部</t>
  </si>
  <si>
    <t>TTC0028</t>
  </si>
  <si>
    <t>林 大輔</t>
  </si>
  <si>
    <t>TTC0029</t>
  </si>
  <si>
    <t>松本 颯太</t>
  </si>
  <si>
    <t>物流部</t>
  </si>
  <si>
    <t>TTC0030</t>
  </si>
  <si>
    <t>佐藤 啓介</t>
  </si>
  <si>
    <t>TTC0031</t>
  </si>
  <si>
    <t>鈴木 直子</t>
  </si>
  <si>
    <t>TTC0032</t>
  </si>
  <si>
    <t>木村 直子</t>
  </si>
  <si>
    <t>TTC0033</t>
  </si>
  <si>
    <t>清水 啓介</t>
  </si>
  <si>
    <t>TTC0034</t>
  </si>
  <si>
    <t>田中 美咲</t>
  </si>
  <si>
    <t>TTC0035</t>
  </si>
  <si>
    <t>鈴木 美咲</t>
  </si>
  <si>
    <t>TTC0036</t>
  </si>
  <si>
    <t>山本 大輔</t>
  </si>
  <si>
    <t>TTC0037</t>
  </si>
  <si>
    <t>松本 直子</t>
  </si>
  <si>
    <t>TTC0038</t>
  </si>
  <si>
    <t>鈴木 美優</t>
  </si>
  <si>
    <t>期限後受講</t>
  </si>
  <si>
    <t>12/02 督促後に12/06 受講完了</t>
  </si>
  <si>
    <t>TTC0039</t>
  </si>
  <si>
    <t>斎藤 優子</t>
  </si>
  <si>
    <t>TTC0040</t>
  </si>
  <si>
    <t>佐々木 太郎</t>
  </si>
  <si>
    <t>TTC0041</t>
  </si>
  <si>
    <t>斎藤 美優</t>
  </si>
  <si>
    <t>TTC0042</t>
  </si>
  <si>
    <t>山本 花子</t>
  </si>
  <si>
    <t>TTC0043</t>
  </si>
  <si>
    <t>鈴木 花子</t>
  </si>
  <si>
    <t>TTC0044</t>
  </si>
  <si>
    <t>鈴木 颯太</t>
  </si>
  <si>
    <t>TTC0045</t>
  </si>
  <si>
    <t>中村 悠斗</t>
  </si>
  <si>
    <t>TTC0046</t>
  </si>
  <si>
    <t>山崎 花子</t>
  </si>
  <si>
    <t>TTC0047</t>
  </si>
  <si>
    <t>木村 亮</t>
  </si>
  <si>
    <t>TTC0048</t>
  </si>
  <si>
    <t>小林 悠斗</t>
  </si>
  <si>
    <t>TTC0049</t>
  </si>
  <si>
    <t>高橋 太郎</t>
  </si>
  <si>
    <t>TTC0050</t>
  </si>
  <si>
    <t>TTC0051</t>
  </si>
  <si>
    <t>山田 彩</t>
  </si>
  <si>
    <t>TTC0052</t>
  </si>
  <si>
    <t>山崎 颯太</t>
  </si>
  <si>
    <t>TTC0053</t>
  </si>
  <si>
    <t>田中 翔</t>
  </si>
  <si>
    <t>TTC0054</t>
  </si>
  <si>
    <t>伊藤 拓海</t>
  </si>
  <si>
    <t>TTC0055</t>
  </si>
  <si>
    <t>TTC0056</t>
  </si>
  <si>
    <t>斎藤 拓海</t>
  </si>
  <si>
    <t>TTC0057</t>
  </si>
  <si>
    <t>小林 結衣</t>
  </si>
  <si>
    <t>TTC0058</t>
  </si>
  <si>
    <t>佐藤 美咲</t>
  </si>
  <si>
    <t>TTC0059</t>
  </si>
  <si>
    <t>鈴木 真由</t>
  </si>
  <si>
    <t>TTC0060</t>
  </si>
  <si>
    <t>加藤 真由</t>
  </si>
  <si>
    <t>文書名</t>
  </si>
  <si>
    <t>2025年度 コンプライアンス研修 実施・受講状況一覧</t>
  </si>
  <si>
    <t>対象者</t>
  </si>
  <si>
    <t>全役職員（役員・嘱託・派遣を含む）</t>
  </si>
  <si>
    <t>実施日</t>
  </si>
  <si>
    <t>実施方法</t>
  </si>
  <si>
    <t>eラーニング（LMS）＋理解度テスト（10問、合格基準80%）</t>
  </si>
  <si>
    <t>実施部門</t>
  </si>
  <si>
    <t>法務コンプライアンス室（主管）／人事総務部（受講管理）</t>
  </si>
  <si>
    <t>対象者数</t>
  </si>
  <si>
    <t>社員ID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</si>
</sst>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1" topLeftCell="A25" activePane="bottomLeft" state="frozen"/>
      <selection pane="bottomLeft" activeCell="A2" sqref="A2:A61"/>
    </sheetView>
  </sheetViews>
  <sheetFormatPr defaultColWidth="93.25" defaultRowHeight="13.5" x14ac:dyDescent="0.15"/>
  <cols>
    <col min="1" max="1" width="9" bestFit="1" customWidth="1"/>
    <col min="2" max="2" width="11.625" bestFit="1" customWidth="1"/>
    <col min="3" max="3" width="20.625" bestFit="1" customWidth="1"/>
    <col min="4" max="4" width="7.5" bestFit="1" customWidth="1"/>
    <col min="5" max="5" width="11.625" bestFit="1" customWidth="1"/>
    <col min="6" max="6" width="11.875" bestFit="1" customWidth="1"/>
    <col min="7" max="7" width="11" bestFit="1" customWidth="1"/>
    <col min="8" max="8" width="11.875" bestFit="1" customWidth="1"/>
    <col min="9" max="9" width="47" bestFit="1" customWidth="1"/>
  </cols>
  <sheetData>
    <row r="1" spans="1:9" x14ac:dyDescent="0.15">
      <c r="A1" s="1" t="s">
        <v>157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15">
      <c r="A2" s="2" t="s">
        <v>8</v>
      </c>
      <c r="B2" s="2" t="s">
        <v>9</v>
      </c>
      <c r="C2" s="2" t="s">
        <v>10</v>
      </c>
      <c r="D2" s="2" t="s">
        <v>11</v>
      </c>
      <c r="E2" s="3">
        <v>42087</v>
      </c>
      <c r="F2" s="3">
        <v>45979</v>
      </c>
      <c r="G2" s="2" t="s">
        <v>12</v>
      </c>
      <c r="H2" s="2"/>
      <c r="I2" s="2"/>
    </row>
    <row r="3" spans="1:9" x14ac:dyDescent="0.15">
      <c r="A3" s="2" t="s">
        <v>13</v>
      </c>
      <c r="B3" s="2" t="s">
        <v>14</v>
      </c>
      <c r="C3" s="2" t="s">
        <v>15</v>
      </c>
      <c r="D3" s="2" t="s">
        <v>16</v>
      </c>
      <c r="E3" s="3">
        <v>40911</v>
      </c>
      <c r="F3" s="3">
        <v>45979</v>
      </c>
      <c r="G3" s="2" t="s">
        <v>12</v>
      </c>
      <c r="H3" s="2"/>
      <c r="I3" s="2"/>
    </row>
    <row r="4" spans="1:9" x14ac:dyDescent="0.15">
      <c r="A4" s="2" t="s">
        <v>17</v>
      </c>
      <c r="B4" s="2" t="s">
        <v>18</v>
      </c>
      <c r="C4" s="2" t="s">
        <v>19</v>
      </c>
      <c r="D4" s="2" t="s">
        <v>20</v>
      </c>
      <c r="E4" s="3">
        <v>43944</v>
      </c>
      <c r="F4" s="3">
        <v>45979</v>
      </c>
      <c r="G4" s="2" t="s">
        <v>12</v>
      </c>
      <c r="H4" s="2"/>
      <c r="I4" s="2"/>
    </row>
    <row r="5" spans="1:9" x14ac:dyDescent="0.15">
      <c r="A5" s="2" t="s">
        <v>21</v>
      </c>
      <c r="B5" s="2" t="s">
        <v>22</v>
      </c>
      <c r="C5" s="2" t="s">
        <v>23</v>
      </c>
      <c r="D5" s="2" t="s">
        <v>16</v>
      </c>
      <c r="E5" s="3">
        <v>42394</v>
      </c>
      <c r="F5" s="3">
        <v>45979</v>
      </c>
      <c r="G5" s="2" t="s">
        <v>12</v>
      </c>
      <c r="H5" s="2"/>
      <c r="I5" s="2"/>
    </row>
    <row r="6" spans="1:9" x14ac:dyDescent="0.15">
      <c r="A6" s="2" t="s">
        <v>24</v>
      </c>
      <c r="B6" s="2" t="s">
        <v>25</v>
      </c>
      <c r="C6" s="2" t="s">
        <v>26</v>
      </c>
      <c r="D6" s="2" t="s">
        <v>11</v>
      </c>
      <c r="E6" s="3">
        <v>42159</v>
      </c>
      <c r="F6" s="3">
        <v>45979</v>
      </c>
      <c r="G6" s="2" t="s">
        <v>12</v>
      </c>
      <c r="H6" s="2"/>
      <c r="I6" s="2"/>
    </row>
    <row r="7" spans="1:9" x14ac:dyDescent="0.15">
      <c r="A7" s="2" t="s">
        <v>27</v>
      </c>
      <c r="B7" s="2" t="s">
        <v>28</v>
      </c>
      <c r="C7" s="2" t="s">
        <v>15</v>
      </c>
      <c r="D7" s="2" t="s">
        <v>11</v>
      </c>
      <c r="E7" s="3">
        <v>43017</v>
      </c>
      <c r="F7" s="3">
        <v>45979</v>
      </c>
      <c r="G7" s="2" t="s">
        <v>12</v>
      </c>
      <c r="H7" s="2"/>
      <c r="I7" s="2"/>
    </row>
    <row r="8" spans="1:9" x14ac:dyDescent="0.15">
      <c r="A8" s="2" t="s">
        <v>29</v>
      </c>
      <c r="B8" s="2" t="s">
        <v>30</v>
      </c>
      <c r="C8" s="2" t="s">
        <v>19</v>
      </c>
      <c r="D8" s="2" t="s">
        <v>11</v>
      </c>
      <c r="E8" s="3">
        <v>43149</v>
      </c>
      <c r="F8" s="2"/>
      <c r="G8" s="2" t="s">
        <v>31</v>
      </c>
      <c r="H8" s="3">
        <v>46000</v>
      </c>
      <c r="I8" s="2" t="s">
        <v>32</v>
      </c>
    </row>
    <row r="9" spans="1:9" x14ac:dyDescent="0.15">
      <c r="A9" s="2" t="s">
        <v>33</v>
      </c>
      <c r="B9" s="2" t="s">
        <v>34</v>
      </c>
      <c r="C9" s="2" t="s">
        <v>26</v>
      </c>
      <c r="D9" s="2" t="s">
        <v>16</v>
      </c>
      <c r="E9" s="3">
        <v>44959</v>
      </c>
      <c r="F9" s="3">
        <v>45979</v>
      </c>
      <c r="G9" s="2" t="s">
        <v>12</v>
      </c>
      <c r="H9" s="2"/>
      <c r="I9" s="2"/>
    </row>
    <row r="10" spans="1:9" x14ac:dyDescent="0.15">
      <c r="A10" s="2" t="s">
        <v>35</v>
      </c>
      <c r="B10" s="2" t="s">
        <v>36</v>
      </c>
      <c r="C10" s="2" t="s">
        <v>15</v>
      </c>
      <c r="D10" s="2" t="s">
        <v>37</v>
      </c>
      <c r="E10" s="3">
        <v>45701</v>
      </c>
      <c r="F10" s="3">
        <v>45979</v>
      </c>
      <c r="G10" s="2" t="s">
        <v>12</v>
      </c>
      <c r="H10" s="2"/>
      <c r="I10" s="2"/>
    </row>
    <row r="11" spans="1:9" x14ac:dyDescent="0.15">
      <c r="A11" s="2" t="s">
        <v>38</v>
      </c>
      <c r="B11" s="2" t="s">
        <v>39</v>
      </c>
      <c r="C11" s="2" t="s">
        <v>40</v>
      </c>
      <c r="D11" s="2" t="s">
        <v>37</v>
      </c>
      <c r="E11" s="3">
        <v>41802</v>
      </c>
      <c r="F11" s="3">
        <v>45979</v>
      </c>
      <c r="G11" s="2" t="s">
        <v>12</v>
      </c>
      <c r="H11" s="2"/>
      <c r="I11" s="2"/>
    </row>
    <row r="12" spans="1:9" x14ac:dyDescent="0.15">
      <c r="A12" s="2" t="s">
        <v>41</v>
      </c>
      <c r="B12" s="2" t="s">
        <v>42</v>
      </c>
      <c r="C12" s="2" t="s">
        <v>10</v>
      </c>
      <c r="D12" s="2" t="s">
        <v>43</v>
      </c>
      <c r="E12" s="3">
        <v>44612</v>
      </c>
      <c r="F12" s="3">
        <v>45979</v>
      </c>
      <c r="G12" s="2" t="s">
        <v>12</v>
      </c>
      <c r="H12" s="2"/>
      <c r="I12" s="2"/>
    </row>
    <row r="13" spans="1:9" x14ac:dyDescent="0.15">
      <c r="A13" s="2" t="s">
        <v>44</v>
      </c>
      <c r="B13" s="2" t="s">
        <v>45</v>
      </c>
      <c r="C13" s="2" t="s">
        <v>10</v>
      </c>
      <c r="D13" s="2" t="s">
        <v>11</v>
      </c>
      <c r="E13" s="3">
        <v>43655</v>
      </c>
      <c r="F13" s="3">
        <v>45979</v>
      </c>
      <c r="G13" s="2" t="s">
        <v>12</v>
      </c>
      <c r="H13" s="2"/>
      <c r="I13" s="2"/>
    </row>
    <row r="14" spans="1:9" x14ac:dyDescent="0.15">
      <c r="A14" s="2" t="s">
        <v>46</v>
      </c>
      <c r="B14" s="2" t="s">
        <v>47</v>
      </c>
      <c r="C14" s="2" t="s">
        <v>40</v>
      </c>
      <c r="D14" s="2" t="s">
        <v>11</v>
      </c>
      <c r="E14" s="3">
        <v>45299</v>
      </c>
      <c r="F14" s="3">
        <v>45979</v>
      </c>
      <c r="G14" s="2" t="s">
        <v>12</v>
      </c>
      <c r="H14" s="2"/>
      <c r="I14" s="2"/>
    </row>
    <row r="15" spans="1:9" x14ac:dyDescent="0.15">
      <c r="A15" s="2" t="s">
        <v>48</v>
      </c>
      <c r="B15" s="2" t="s">
        <v>49</v>
      </c>
      <c r="C15" s="2" t="s">
        <v>50</v>
      </c>
      <c r="D15" s="2" t="s">
        <v>11</v>
      </c>
      <c r="E15" s="3">
        <v>42300</v>
      </c>
      <c r="F15" s="3">
        <v>45979</v>
      </c>
      <c r="G15" s="2" t="s">
        <v>12</v>
      </c>
      <c r="H15" s="2"/>
      <c r="I15" s="2"/>
    </row>
    <row r="16" spans="1:9" x14ac:dyDescent="0.15">
      <c r="A16" s="2" t="s">
        <v>51</v>
      </c>
      <c r="B16" s="2" t="s">
        <v>52</v>
      </c>
      <c r="C16" s="2" t="s">
        <v>40</v>
      </c>
      <c r="D16" s="2" t="s">
        <v>16</v>
      </c>
      <c r="E16" s="3">
        <v>44778</v>
      </c>
      <c r="F16" s="3">
        <v>45979</v>
      </c>
      <c r="G16" s="2" t="s">
        <v>12</v>
      </c>
      <c r="H16" s="2"/>
      <c r="I16" s="2"/>
    </row>
    <row r="17" spans="1:9" x14ac:dyDescent="0.15">
      <c r="A17" s="2" t="s">
        <v>53</v>
      </c>
      <c r="B17" s="2" t="s">
        <v>54</v>
      </c>
      <c r="C17" s="2" t="s">
        <v>23</v>
      </c>
      <c r="D17" s="2" t="s">
        <v>20</v>
      </c>
      <c r="E17" s="3">
        <v>43975</v>
      </c>
      <c r="F17" s="3">
        <v>45979</v>
      </c>
      <c r="G17" s="2" t="s">
        <v>12</v>
      </c>
      <c r="H17" s="2"/>
      <c r="I17" s="2"/>
    </row>
    <row r="18" spans="1:9" x14ac:dyDescent="0.15">
      <c r="A18" s="2" t="s">
        <v>55</v>
      </c>
      <c r="B18" s="2" t="s">
        <v>56</v>
      </c>
      <c r="C18" s="2" t="s">
        <v>57</v>
      </c>
      <c r="D18" s="2" t="s">
        <v>11</v>
      </c>
      <c r="E18" s="3">
        <v>42080</v>
      </c>
      <c r="F18" s="3">
        <v>45979</v>
      </c>
      <c r="G18" s="2" t="s">
        <v>12</v>
      </c>
      <c r="H18" s="2"/>
      <c r="I18" s="2"/>
    </row>
    <row r="19" spans="1:9" x14ac:dyDescent="0.15">
      <c r="A19" s="2" t="s">
        <v>58</v>
      </c>
      <c r="B19" s="2" t="s">
        <v>59</v>
      </c>
      <c r="C19" s="2" t="s">
        <v>60</v>
      </c>
      <c r="D19" s="2" t="s">
        <v>37</v>
      </c>
      <c r="E19" s="3">
        <v>41949</v>
      </c>
      <c r="F19" s="3">
        <v>45979</v>
      </c>
      <c r="G19" s="2" t="s">
        <v>12</v>
      </c>
      <c r="H19" s="2"/>
      <c r="I19" s="2"/>
    </row>
    <row r="20" spans="1:9" x14ac:dyDescent="0.15">
      <c r="A20" s="2" t="s">
        <v>61</v>
      </c>
      <c r="B20" s="2" t="s">
        <v>62</v>
      </c>
      <c r="C20" s="2" t="s">
        <v>15</v>
      </c>
      <c r="D20" s="2" t="s">
        <v>11</v>
      </c>
      <c r="E20" s="3">
        <v>44425</v>
      </c>
      <c r="F20" s="3">
        <v>45979</v>
      </c>
      <c r="G20" s="2" t="s">
        <v>12</v>
      </c>
      <c r="H20" s="2"/>
      <c r="I20" s="2"/>
    </row>
    <row r="21" spans="1:9" x14ac:dyDescent="0.15">
      <c r="A21" s="2" t="s">
        <v>63</v>
      </c>
      <c r="B21" s="2" t="s">
        <v>64</v>
      </c>
      <c r="C21" s="2" t="s">
        <v>60</v>
      </c>
      <c r="D21" s="2" t="s">
        <v>20</v>
      </c>
      <c r="E21" s="3">
        <v>41596</v>
      </c>
      <c r="F21" s="3">
        <v>45979</v>
      </c>
      <c r="G21" s="2" t="s">
        <v>12</v>
      </c>
      <c r="H21" s="2"/>
      <c r="I21" s="2"/>
    </row>
    <row r="22" spans="1:9" x14ac:dyDescent="0.15">
      <c r="A22" s="2" t="s">
        <v>65</v>
      </c>
      <c r="B22" s="2" t="s">
        <v>66</v>
      </c>
      <c r="C22" s="2" t="s">
        <v>15</v>
      </c>
      <c r="D22" s="2" t="s">
        <v>11</v>
      </c>
      <c r="E22" s="3">
        <v>41852</v>
      </c>
      <c r="F22" s="3">
        <v>45979</v>
      </c>
      <c r="G22" s="2" t="s">
        <v>12</v>
      </c>
      <c r="H22" s="2"/>
      <c r="I22" s="2"/>
    </row>
    <row r="23" spans="1:9" x14ac:dyDescent="0.15">
      <c r="A23" s="2" t="s">
        <v>67</v>
      </c>
      <c r="B23" s="2" t="s">
        <v>68</v>
      </c>
      <c r="C23" s="2" t="s">
        <v>69</v>
      </c>
      <c r="D23" s="2" t="s">
        <v>16</v>
      </c>
      <c r="E23" s="3">
        <v>41588</v>
      </c>
      <c r="F23" s="3">
        <v>45979</v>
      </c>
      <c r="G23" s="2" t="s">
        <v>12</v>
      </c>
      <c r="H23" s="2"/>
      <c r="I23" s="2"/>
    </row>
    <row r="24" spans="1:9" x14ac:dyDescent="0.15">
      <c r="A24" s="2" t="s">
        <v>70</v>
      </c>
      <c r="B24" s="2" t="s">
        <v>71</v>
      </c>
      <c r="C24" s="2" t="s">
        <v>23</v>
      </c>
      <c r="D24" s="2" t="s">
        <v>11</v>
      </c>
      <c r="E24" s="3">
        <v>45369</v>
      </c>
      <c r="F24" s="2"/>
      <c r="G24" s="2" t="s">
        <v>31</v>
      </c>
      <c r="H24" s="3">
        <v>46000</v>
      </c>
      <c r="I24" s="2" t="s">
        <v>32</v>
      </c>
    </row>
    <row r="25" spans="1:9" x14ac:dyDescent="0.15">
      <c r="A25" s="2" t="s">
        <v>72</v>
      </c>
      <c r="B25" s="2" t="s">
        <v>73</v>
      </c>
      <c r="C25" s="2" t="s">
        <v>57</v>
      </c>
      <c r="D25" s="2" t="s">
        <v>11</v>
      </c>
      <c r="E25" s="3">
        <v>40951</v>
      </c>
      <c r="F25" s="3">
        <v>45979</v>
      </c>
      <c r="G25" s="2" t="s">
        <v>12</v>
      </c>
      <c r="H25" s="2"/>
      <c r="I25" s="2"/>
    </row>
    <row r="26" spans="1:9" x14ac:dyDescent="0.15">
      <c r="A26" s="2" t="s">
        <v>74</v>
      </c>
      <c r="B26" s="2" t="s">
        <v>75</v>
      </c>
      <c r="C26" s="2" t="s">
        <v>60</v>
      </c>
      <c r="D26" s="2" t="s">
        <v>11</v>
      </c>
      <c r="E26" s="3">
        <v>44230</v>
      </c>
      <c r="F26" s="3">
        <v>45979</v>
      </c>
      <c r="G26" s="2" t="s">
        <v>12</v>
      </c>
      <c r="H26" s="2"/>
      <c r="I26" s="2"/>
    </row>
    <row r="27" spans="1:9" x14ac:dyDescent="0.15">
      <c r="A27" s="2" t="s">
        <v>76</v>
      </c>
      <c r="B27" s="2" t="s">
        <v>59</v>
      </c>
      <c r="C27" s="2" t="s">
        <v>19</v>
      </c>
      <c r="D27" s="2" t="s">
        <v>37</v>
      </c>
      <c r="E27" s="3">
        <v>41959</v>
      </c>
      <c r="F27" s="3">
        <v>45979</v>
      </c>
      <c r="G27" s="2" t="s">
        <v>12</v>
      </c>
      <c r="H27" s="2"/>
      <c r="I27" s="2"/>
    </row>
    <row r="28" spans="1:9" x14ac:dyDescent="0.15">
      <c r="A28" s="2" t="s">
        <v>77</v>
      </c>
      <c r="B28" s="2" t="s">
        <v>78</v>
      </c>
      <c r="C28" s="2" t="s">
        <v>79</v>
      </c>
      <c r="D28" s="2" t="s">
        <v>16</v>
      </c>
      <c r="E28" s="3">
        <v>44384</v>
      </c>
      <c r="F28" s="3">
        <v>45979</v>
      </c>
      <c r="G28" s="2" t="s">
        <v>12</v>
      </c>
      <c r="H28" s="2"/>
      <c r="I28" s="2"/>
    </row>
    <row r="29" spans="1:9" x14ac:dyDescent="0.15">
      <c r="A29" s="2" t="s">
        <v>80</v>
      </c>
      <c r="B29" s="2" t="s">
        <v>81</v>
      </c>
      <c r="C29" s="2" t="s">
        <v>10</v>
      </c>
      <c r="D29" s="2" t="s">
        <v>11</v>
      </c>
      <c r="E29" s="3">
        <v>44877</v>
      </c>
      <c r="F29" s="3">
        <v>45979</v>
      </c>
      <c r="G29" s="2" t="s">
        <v>12</v>
      </c>
      <c r="H29" s="2"/>
      <c r="I29" s="2"/>
    </row>
    <row r="30" spans="1:9" x14ac:dyDescent="0.15">
      <c r="A30" s="2" t="s">
        <v>82</v>
      </c>
      <c r="B30" s="2" t="s">
        <v>83</v>
      </c>
      <c r="C30" s="2" t="s">
        <v>84</v>
      </c>
      <c r="D30" s="2" t="s">
        <v>11</v>
      </c>
      <c r="E30" s="3">
        <v>42046</v>
      </c>
      <c r="F30" s="3">
        <v>45979</v>
      </c>
      <c r="G30" s="2" t="s">
        <v>12</v>
      </c>
      <c r="H30" s="2"/>
      <c r="I30" s="2"/>
    </row>
    <row r="31" spans="1:9" x14ac:dyDescent="0.15">
      <c r="A31" s="2" t="s">
        <v>85</v>
      </c>
      <c r="B31" s="2" t="s">
        <v>86</v>
      </c>
      <c r="C31" s="2" t="s">
        <v>19</v>
      </c>
      <c r="D31" s="2" t="s">
        <v>11</v>
      </c>
      <c r="E31" s="3">
        <v>42007</v>
      </c>
      <c r="F31" s="3">
        <v>45979</v>
      </c>
      <c r="G31" s="2" t="s">
        <v>12</v>
      </c>
      <c r="H31" s="2"/>
      <c r="I31" s="2"/>
    </row>
    <row r="32" spans="1:9" x14ac:dyDescent="0.15">
      <c r="A32" s="2" t="s">
        <v>87</v>
      </c>
      <c r="B32" s="2" t="s">
        <v>88</v>
      </c>
      <c r="C32" s="2" t="s">
        <v>15</v>
      </c>
      <c r="D32" s="2" t="s">
        <v>43</v>
      </c>
      <c r="E32" s="3">
        <v>45811</v>
      </c>
      <c r="F32" s="3">
        <v>45979</v>
      </c>
      <c r="G32" s="2" t="s">
        <v>12</v>
      </c>
      <c r="H32" s="2"/>
      <c r="I32" s="2"/>
    </row>
    <row r="33" spans="1:9" x14ac:dyDescent="0.15">
      <c r="A33" s="2" t="s">
        <v>89</v>
      </c>
      <c r="B33" s="2" t="s">
        <v>90</v>
      </c>
      <c r="C33" s="2" t="s">
        <v>79</v>
      </c>
      <c r="D33" s="2" t="s">
        <v>20</v>
      </c>
      <c r="E33" s="3">
        <v>42252</v>
      </c>
      <c r="F33" s="3">
        <v>45979</v>
      </c>
      <c r="G33" s="2" t="s">
        <v>12</v>
      </c>
      <c r="H33" s="2"/>
      <c r="I33" s="2"/>
    </row>
    <row r="34" spans="1:9" x14ac:dyDescent="0.15">
      <c r="A34" s="2" t="s">
        <v>91</v>
      </c>
      <c r="B34" s="2" t="s">
        <v>92</v>
      </c>
      <c r="C34" s="2" t="s">
        <v>84</v>
      </c>
      <c r="D34" s="2" t="s">
        <v>11</v>
      </c>
      <c r="E34" s="3">
        <v>43653</v>
      </c>
      <c r="F34" s="3">
        <v>45979</v>
      </c>
      <c r="G34" s="2" t="s">
        <v>12</v>
      </c>
      <c r="H34" s="2"/>
      <c r="I34" s="2"/>
    </row>
    <row r="35" spans="1:9" x14ac:dyDescent="0.15">
      <c r="A35" s="2" t="s">
        <v>93</v>
      </c>
      <c r="B35" s="2" t="s">
        <v>94</v>
      </c>
      <c r="C35" s="2" t="s">
        <v>40</v>
      </c>
      <c r="D35" s="2" t="s">
        <v>16</v>
      </c>
      <c r="E35" s="3">
        <v>43296</v>
      </c>
      <c r="F35" s="3">
        <v>45979</v>
      </c>
      <c r="G35" s="2" t="s">
        <v>12</v>
      </c>
      <c r="H35" s="2"/>
      <c r="I35" s="2"/>
    </row>
    <row r="36" spans="1:9" x14ac:dyDescent="0.15">
      <c r="A36" s="2" t="s">
        <v>95</v>
      </c>
      <c r="B36" s="2" t="s">
        <v>96</v>
      </c>
      <c r="C36" s="2" t="s">
        <v>60</v>
      </c>
      <c r="D36" s="2" t="s">
        <v>16</v>
      </c>
      <c r="E36" s="3">
        <v>42774</v>
      </c>
      <c r="F36" s="3">
        <v>45979</v>
      </c>
      <c r="G36" s="2" t="s">
        <v>12</v>
      </c>
      <c r="H36" s="2"/>
      <c r="I36" s="2"/>
    </row>
    <row r="37" spans="1:9" x14ac:dyDescent="0.15">
      <c r="A37" s="2" t="s">
        <v>97</v>
      </c>
      <c r="B37" s="2" t="s">
        <v>98</v>
      </c>
      <c r="C37" s="2" t="s">
        <v>19</v>
      </c>
      <c r="D37" s="2" t="s">
        <v>16</v>
      </c>
      <c r="E37" s="3">
        <v>43168</v>
      </c>
      <c r="F37" s="3">
        <v>45979</v>
      </c>
      <c r="G37" s="2" t="s">
        <v>12</v>
      </c>
      <c r="H37" s="2"/>
      <c r="I37" s="2"/>
    </row>
    <row r="38" spans="1:9" x14ac:dyDescent="0.15">
      <c r="A38" s="2" t="s">
        <v>99</v>
      </c>
      <c r="B38" s="2" t="s">
        <v>100</v>
      </c>
      <c r="C38" s="2" t="s">
        <v>15</v>
      </c>
      <c r="D38" s="2" t="s">
        <v>16</v>
      </c>
      <c r="E38" s="3">
        <v>45904</v>
      </c>
      <c r="F38" s="3">
        <v>45979</v>
      </c>
      <c r="G38" s="2" t="s">
        <v>12</v>
      </c>
      <c r="H38" s="2"/>
      <c r="I38" s="2"/>
    </row>
    <row r="39" spans="1:9" x14ac:dyDescent="0.15">
      <c r="A39" s="2" t="s">
        <v>101</v>
      </c>
      <c r="B39" s="2" t="s">
        <v>102</v>
      </c>
      <c r="C39" s="2" t="s">
        <v>60</v>
      </c>
      <c r="D39" s="2" t="s">
        <v>43</v>
      </c>
      <c r="E39" s="3">
        <v>45388</v>
      </c>
      <c r="F39" s="3">
        <v>45997</v>
      </c>
      <c r="G39" s="2" t="s">
        <v>103</v>
      </c>
      <c r="H39" s="3">
        <v>45993</v>
      </c>
      <c r="I39" s="2" t="s">
        <v>104</v>
      </c>
    </row>
    <row r="40" spans="1:9" x14ac:dyDescent="0.15">
      <c r="A40" s="2" t="s">
        <v>105</v>
      </c>
      <c r="B40" s="2" t="s">
        <v>106</v>
      </c>
      <c r="C40" s="2" t="s">
        <v>84</v>
      </c>
      <c r="D40" s="2" t="s">
        <v>11</v>
      </c>
      <c r="E40" s="3">
        <v>43106</v>
      </c>
      <c r="F40" s="3">
        <v>45979</v>
      </c>
      <c r="G40" s="2" t="s">
        <v>12</v>
      </c>
      <c r="H40" s="2"/>
      <c r="I40" s="2"/>
    </row>
    <row r="41" spans="1:9" x14ac:dyDescent="0.15">
      <c r="A41" s="2" t="s">
        <v>107</v>
      </c>
      <c r="B41" s="2" t="s">
        <v>108</v>
      </c>
      <c r="C41" s="2" t="s">
        <v>50</v>
      </c>
      <c r="D41" s="2" t="s">
        <v>11</v>
      </c>
      <c r="E41" s="3">
        <v>45514</v>
      </c>
      <c r="F41" s="3">
        <v>45979</v>
      </c>
      <c r="G41" s="2" t="s">
        <v>12</v>
      </c>
      <c r="H41" s="2"/>
      <c r="I41" s="2"/>
    </row>
    <row r="42" spans="1:9" x14ac:dyDescent="0.15">
      <c r="A42" s="2" t="s">
        <v>109</v>
      </c>
      <c r="B42" s="2" t="s">
        <v>110</v>
      </c>
      <c r="C42" s="2" t="s">
        <v>40</v>
      </c>
      <c r="D42" s="2" t="s">
        <v>20</v>
      </c>
      <c r="E42" s="3">
        <v>41739</v>
      </c>
      <c r="F42" s="3">
        <v>45979</v>
      </c>
      <c r="G42" s="2" t="s">
        <v>12</v>
      </c>
      <c r="H42" s="2"/>
      <c r="I42" s="2"/>
    </row>
    <row r="43" spans="1:9" x14ac:dyDescent="0.15">
      <c r="A43" s="2" t="s">
        <v>111</v>
      </c>
      <c r="B43" s="2" t="s">
        <v>112</v>
      </c>
      <c r="C43" s="2" t="s">
        <v>57</v>
      </c>
      <c r="D43" s="2" t="s">
        <v>20</v>
      </c>
      <c r="E43" s="3">
        <v>41254</v>
      </c>
      <c r="F43" s="3">
        <v>45979</v>
      </c>
      <c r="G43" s="2" t="s">
        <v>12</v>
      </c>
      <c r="H43" s="2"/>
      <c r="I43" s="2"/>
    </row>
    <row r="44" spans="1:9" x14ac:dyDescent="0.15">
      <c r="A44" s="2" t="s">
        <v>113</v>
      </c>
      <c r="B44" s="2" t="s">
        <v>114</v>
      </c>
      <c r="C44" s="2" t="s">
        <v>57</v>
      </c>
      <c r="D44" s="2" t="s">
        <v>16</v>
      </c>
      <c r="E44" s="3">
        <v>45906</v>
      </c>
      <c r="F44" s="2"/>
      <c r="G44" s="2" t="s">
        <v>31</v>
      </c>
      <c r="H44" s="3">
        <v>46000</v>
      </c>
      <c r="I44" s="2" t="s">
        <v>32</v>
      </c>
    </row>
    <row r="45" spans="1:9" x14ac:dyDescent="0.15">
      <c r="A45" s="2" t="s">
        <v>115</v>
      </c>
      <c r="B45" s="2" t="s">
        <v>116</v>
      </c>
      <c r="C45" s="2" t="s">
        <v>15</v>
      </c>
      <c r="D45" s="2" t="s">
        <v>37</v>
      </c>
      <c r="E45" s="3">
        <v>41550</v>
      </c>
      <c r="F45" s="3">
        <v>45979</v>
      </c>
      <c r="G45" s="2" t="s">
        <v>12</v>
      </c>
      <c r="H45" s="2"/>
      <c r="I45" s="2"/>
    </row>
    <row r="46" spans="1:9" x14ac:dyDescent="0.15">
      <c r="A46" s="2" t="s">
        <v>117</v>
      </c>
      <c r="B46" s="2" t="s">
        <v>118</v>
      </c>
      <c r="C46" s="2" t="s">
        <v>15</v>
      </c>
      <c r="D46" s="2" t="s">
        <v>43</v>
      </c>
      <c r="E46" s="3">
        <v>44305</v>
      </c>
      <c r="F46" s="3">
        <v>45979</v>
      </c>
      <c r="G46" s="2" t="s">
        <v>12</v>
      </c>
      <c r="H46" s="2"/>
      <c r="I46" s="2"/>
    </row>
    <row r="47" spans="1:9" x14ac:dyDescent="0.15">
      <c r="A47" s="2" t="s">
        <v>119</v>
      </c>
      <c r="B47" s="2" t="s">
        <v>120</v>
      </c>
      <c r="C47" s="2" t="s">
        <v>57</v>
      </c>
      <c r="D47" s="2" t="s">
        <v>11</v>
      </c>
      <c r="E47" s="3">
        <v>44853</v>
      </c>
      <c r="F47" s="3">
        <v>45979</v>
      </c>
      <c r="G47" s="2" t="s">
        <v>12</v>
      </c>
      <c r="H47" s="2"/>
      <c r="I47" s="2"/>
    </row>
    <row r="48" spans="1:9" x14ac:dyDescent="0.15">
      <c r="A48" s="2" t="s">
        <v>121</v>
      </c>
      <c r="B48" s="2" t="s">
        <v>122</v>
      </c>
      <c r="C48" s="2" t="s">
        <v>79</v>
      </c>
      <c r="D48" s="2" t="s">
        <v>11</v>
      </c>
      <c r="E48" s="3">
        <v>45085</v>
      </c>
      <c r="F48" s="3">
        <v>45979</v>
      </c>
      <c r="G48" s="2" t="s">
        <v>12</v>
      </c>
      <c r="H48" s="2"/>
      <c r="I48" s="2"/>
    </row>
    <row r="49" spans="1:9" x14ac:dyDescent="0.15">
      <c r="A49" s="2" t="s">
        <v>123</v>
      </c>
      <c r="B49" s="2" t="s">
        <v>124</v>
      </c>
      <c r="C49" s="2" t="s">
        <v>69</v>
      </c>
      <c r="D49" s="2" t="s">
        <v>20</v>
      </c>
      <c r="E49" s="3">
        <v>42593</v>
      </c>
      <c r="F49" s="3">
        <v>45979</v>
      </c>
      <c r="G49" s="2" t="s">
        <v>12</v>
      </c>
      <c r="H49" s="2"/>
      <c r="I49" s="2"/>
    </row>
    <row r="50" spans="1:9" x14ac:dyDescent="0.15">
      <c r="A50" s="2" t="s">
        <v>125</v>
      </c>
      <c r="B50" s="2" t="s">
        <v>126</v>
      </c>
      <c r="C50" s="2" t="s">
        <v>84</v>
      </c>
      <c r="D50" s="2" t="s">
        <v>20</v>
      </c>
      <c r="E50" s="3">
        <v>44230</v>
      </c>
      <c r="F50" s="3">
        <v>45979</v>
      </c>
      <c r="G50" s="2" t="s">
        <v>12</v>
      </c>
      <c r="H50" s="2"/>
      <c r="I50" s="2"/>
    </row>
    <row r="51" spans="1:9" x14ac:dyDescent="0.15">
      <c r="A51" s="2" t="s">
        <v>127</v>
      </c>
      <c r="B51" s="2" t="s">
        <v>81</v>
      </c>
      <c r="C51" s="2" t="s">
        <v>19</v>
      </c>
      <c r="D51" s="2" t="s">
        <v>11</v>
      </c>
      <c r="E51" s="3">
        <v>42774</v>
      </c>
      <c r="F51" s="3">
        <v>45979</v>
      </c>
      <c r="G51" s="2" t="s">
        <v>12</v>
      </c>
      <c r="H51" s="2"/>
      <c r="I51" s="2"/>
    </row>
    <row r="52" spans="1:9" x14ac:dyDescent="0.15">
      <c r="A52" s="2" t="s">
        <v>128</v>
      </c>
      <c r="B52" s="2" t="s">
        <v>129</v>
      </c>
      <c r="C52" s="2" t="s">
        <v>69</v>
      </c>
      <c r="D52" s="2" t="s">
        <v>16</v>
      </c>
      <c r="E52" s="3">
        <v>44175</v>
      </c>
      <c r="F52" s="3">
        <v>45979</v>
      </c>
      <c r="G52" s="2" t="s">
        <v>12</v>
      </c>
      <c r="H52" s="2"/>
      <c r="I52" s="2"/>
    </row>
    <row r="53" spans="1:9" x14ac:dyDescent="0.15">
      <c r="A53" s="2" t="s">
        <v>130</v>
      </c>
      <c r="B53" s="2" t="s">
        <v>131</v>
      </c>
      <c r="C53" s="2" t="s">
        <v>60</v>
      </c>
      <c r="D53" s="2" t="s">
        <v>20</v>
      </c>
      <c r="E53" s="3">
        <v>43973</v>
      </c>
      <c r="F53" s="3">
        <v>45979</v>
      </c>
      <c r="G53" s="2" t="s">
        <v>12</v>
      </c>
      <c r="H53" s="2"/>
      <c r="I53" s="2"/>
    </row>
    <row r="54" spans="1:9" x14ac:dyDescent="0.15">
      <c r="A54" s="2" t="s">
        <v>132</v>
      </c>
      <c r="B54" s="2" t="s">
        <v>133</v>
      </c>
      <c r="C54" s="2" t="s">
        <v>79</v>
      </c>
      <c r="D54" s="2" t="s">
        <v>11</v>
      </c>
      <c r="E54" s="3">
        <v>41626</v>
      </c>
      <c r="F54" s="3">
        <v>45997</v>
      </c>
      <c r="G54" s="2" t="s">
        <v>103</v>
      </c>
      <c r="H54" s="3">
        <v>45993</v>
      </c>
      <c r="I54" s="2" t="s">
        <v>104</v>
      </c>
    </row>
    <row r="55" spans="1:9" x14ac:dyDescent="0.15">
      <c r="A55" s="2" t="s">
        <v>134</v>
      </c>
      <c r="B55" s="2" t="s">
        <v>135</v>
      </c>
      <c r="C55" s="2" t="s">
        <v>79</v>
      </c>
      <c r="D55" s="2" t="s">
        <v>20</v>
      </c>
      <c r="E55" s="3">
        <v>45084</v>
      </c>
      <c r="F55" s="3">
        <v>45979</v>
      </c>
      <c r="G55" s="2" t="s">
        <v>12</v>
      </c>
      <c r="H55" s="2"/>
      <c r="I55" s="2"/>
    </row>
    <row r="56" spans="1:9" x14ac:dyDescent="0.15">
      <c r="A56" s="2" t="s">
        <v>136</v>
      </c>
      <c r="B56" s="2" t="s">
        <v>68</v>
      </c>
      <c r="C56" s="2" t="s">
        <v>84</v>
      </c>
      <c r="D56" s="2" t="s">
        <v>11</v>
      </c>
      <c r="E56" s="3">
        <v>45660</v>
      </c>
      <c r="F56" s="3">
        <v>45979</v>
      </c>
      <c r="G56" s="2" t="s">
        <v>12</v>
      </c>
      <c r="H56" s="2"/>
      <c r="I56" s="2"/>
    </row>
    <row r="57" spans="1:9" x14ac:dyDescent="0.15">
      <c r="A57" s="2" t="s">
        <v>137</v>
      </c>
      <c r="B57" s="2" t="s">
        <v>138</v>
      </c>
      <c r="C57" s="2" t="s">
        <v>60</v>
      </c>
      <c r="D57" s="2" t="s">
        <v>11</v>
      </c>
      <c r="E57" s="3">
        <v>45372</v>
      </c>
      <c r="F57" s="3">
        <v>45979</v>
      </c>
      <c r="G57" s="2" t="s">
        <v>12</v>
      </c>
      <c r="H57" s="2"/>
      <c r="I57" s="2"/>
    </row>
    <row r="58" spans="1:9" x14ac:dyDescent="0.15">
      <c r="A58" s="2" t="s">
        <v>139</v>
      </c>
      <c r="B58" s="2" t="s">
        <v>140</v>
      </c>
      <c r="C58" s="2" t="s">
        <v>10</v>
      </c>
      <c r="D58" s="2" t="s">
        <v>16</v>
      </c>
      <c r="E58" s="3">
        <v>45125</v>
      </c>
      <c r="F58" s="3">
        <v>45979</v>
      </c>
      <c r="G58" s="2" t="s">
        <v>12</v>
      </c>
      <c r="H58" s="2"/>
      <c r="I58" s="2"/>
    </row>
    <row r="59" spans="1:9" x14ac:dyDescent="0.15">
      <c r="A59" s="2" t="s">
        <v>141</v>
      </c>
      <c r="B59" s="2" t="s">
        <v>142</v>
      </c>
      <c r="C59" s="2" t="s">
        <v>15</v>
      </c>
      <c r="D59" s="2" t="s">
        <v>43</v>
      </c>
      <c r="E59" s="3">
        <v>45003</v>
      </c>
      <c r="F59" s="3">
        <v>45979</v>
      </c>
      <c r="G59" s="2" t="s">
        <v>12</v>
      </c>
      <c r="H59" s="2"/>
      <c r="I59" s="2"/>
    </row>
    <row r="60" spans="1:9" x14ac:dyDescent="0.15">
      <c r="A60" s="2" t="s">
        <v>143</v>
      </c>
      <c r="B60" s="2" t="s">
        <v>144</v>
      </c>
      <c r="C60" s="2" t="s">
        <v>57</v>
      </c>
      <c r="D60" s="2" t="s">
        <v>16</v>
      </c>
      <c r="E60" s="3">
        <v>43161</v>
      </c>
      <c r="F60" s="3">
        <v>45997</v>
      </c>
      <c r="G60" s="2" t="s">
        <v>103</v>
      </c>
      <c r="H60" s="3">
        <v>45993</v>
      </c>
      <c r="I60" s="2" t="s">
        <v>104</v>
      </c>
    </row>
    <row r="61" spans="1:9" x14ac:dyDescent="0.15">
      <c r="A61" s="2" t="s">
        <v>145</v>
      </c>
      <c r="B61" s="2" t="s">
        <v>146</v>
      </c>
      <c r="C61" s="2" t="s">
        <v>60</v>
      </c>
      <c r="D61" s="2" t="s">
        <v>43</v>
      </c>
      <c r="E61" s="3">
        <v>42316</v>
      </c>
      <c r="F61" s="3">
        <v>45997</v>
      </c>
      <c r="G61" s="2" t="s">
        <v>103</v>
      </c>
      <c r="H61" s="3">
        <v>45993</v>
      </c>
      <c r="I61" s="2" t="s">
        <v>104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8" customWidth="1"/>
    <col min="2" max="2" width="70" customWidth="1"/>
  </cols>
  <sheetData>
    <row r="1" spans="1:2" x14ac:dyDescent="0.15">
      <c r="A1" s="4" t="s">
        <v>147</v>
      </c>
      <c r="B1" s="5" t="s">
        <v>148</v>
      </c>
    </row>
    <row r="2" spans="1:2" x14ac:dyDescent="0.15">
      <c r="A2" s="4" t="s">
        <v>149</v>
      </c>
      <c r="B2" s="5" t="s">
        <v>150</v>
      </c>
    </row>
    <row r="3" spans="1:2" x14ac:dyDescent="0.15">
      <c r="A3" s="4" t="s">
        <v>151</v>
      </c>
      <c r="B3" s="6">
        <v>45979</v>
      </c>
    </row>
    <row r="4" spans="1:2" x14ac:dyDescent="0.15">
      <c r="A4" s="4" t="s">
        <v>152</v>
      </c>
      <c r="B4" s="5" t="s">
        <v>153</v>
      </c>
    </row>
    <row r="5" spans="1:2" x14ac:dyDescent="0.15">
      <c r="A5" s="4" t="s">
        <v>154</v>
      </c>
      <c r="B5" s="5" t="s">
        <v>155</v>
      </c>
    </row>
    <row r="6" spans="1:2" x14ac:dyDescent="0.15">
      <c r="A6" s="4" t="s">
        <v>156</v>
      </c>
      <c r="B6" s="5">
        <f>COUNTA(受講者一覧!A:A)-1</f>
        <v>60</v>
      </c>
    </row>
    <row r="7" spans="1:2" x14ac:dyDescent="0.15">
      <c r="A7" s="4" t="s">
        <v>12</v>
      </c>
      <c r="B7" s="5">
        <f>COUNTIF(受講者一覧!G:G,"受講済")</f>
        <v>53</v>
      </c>
    </row>
    <row r="8" spans="1:2" x14ac:dyDescent="0.15">
      <c r="A8" s="4" t="s">
        <v>103</v>
      </c>
      <c r="B8" s="5">
        <f>COUNTIF(受講者一覧!G:G,"期限後受講")</f>
        <v>4</v>
      </c>
    </row>
    <row r="9" spans="1:2" x14ac:dyDescent="0.15">
      <c r="A9" s="4" t="s">
        <v>31</v>
      </c>
      <c r="B9" s="5">
        <f>COUNTIF(受講者一覧!G:G,"未受講")</f>
        <v>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受講者一覧</vt:lpstr>
      <vt:lpstr>実施概要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 Yoshizawa</cp:lastModifiedBy>
  <dcterms:created xsi:type="dcterms:W3CDTF">2026-01-03T20:12:00Z</dcterms:created>
  <dcterms:modified xsi:type="dcterms:W3CDTF">2026-01-11T09:13:11Z</dcterms:modified>
</cp:coreProperties>
</file>