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仕訳抽出" sheetId="1" state="visible" r:id="rId1"/>
    <sheet xmlns:r="http://schemas.openxmlformats.org/officeDocument/2006/relationships" name="カットオフ照合（サンプル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6" customWidth="1" min="4" max="4"/>
    <col width="10" customWidth="1" min="5" max="5"/>
    <col width="10" customWidth="1" min="6" max="6"/>
    <col width="10" customWidth="1" min="7" max="7"/>
    <col width="28" customWidth="1" min="8" max="8"/>
    <col width="12" customWidth="1" min="9" max="9"/>
    <col width="15" customWidth="1" min="10" max="10"/>
  </cols>
  <sheetData>
    <row r="1">
      <c r="A1" s="1" t="inlineStr">
        <is>
          <t>伝票日付</t>
        </is>
      </c>
      <c r="B1" s="1" t="inlineStr">
        <is>
          <t>伝票番号</t>
        </is>
      </c>
      <c r="C1" s="1" t="inlineStr">
        <is>
          <t>取引先</t>
        </is>
      </c>
      <c r="D1" s="1" t="inlineStr">
        <is>
          <t>出荷番号</t>
        </is>
      </c>
      <c r="E1" s="1" t="inlineStr">
        <is>
          <t>勘定科目</t>
        </is>
      </c>
      <c r="F1" s="1" t="inlineStr">
        <is>
          <t>借方金額</t>
        </is>
      </c>
      <c r="G1" s="1" t="inlineStr">
        <is>
          <t>貸方金額</t>
        </is>
      </c>
      <c r="H1" s="1" t="inlineStr">
        <is>
          <t>摘要</t>
        </is>
      </c>
      <c r="I1" s="1" t="inlineStr">
        <is>
          <t>計上日</t>
        </is>
      </c>
      <c r="J1" s="1" t="inlineStr">
        <is>
          <t>生成元</t>
        </is>
      </c>
    </row>
    <row r="2">
      <c r="A2" s="2" t="n">
        <v>46020</v>
      </c>
      <c r="B2" s="3" t="inlineStr">
        <is>
          <t>JV-251229-078</t>
        </is>
      </c>
      <c r="C2" s="3" t="inlineStr">
        <is>
          <t>株式会社ネオリテール</t>
        </is>
      </c>
      <c r="D2" s="3" t="inlineStr">
        <is>
          <t>SHP-251229-034</t>
        </is>
      </c>
      <c r="E2" s="3" t="inlineStr">
        <is>
          <t>売掛金</t>
        </is>
      </c>
      <c r="F2" s="4" t="n">
        <v>7600000</v>
      </c>
      <c r="G2" s="4" t="inlineStr"/>
      <c r="H2" s="3" t="inlineStr">
        <is>
          <t>出荷売上（製品A/B）</t>
        </is>
      </c>
      <c r="I2" s="2" t="n">
        <v>46020</v>
      </c>
      <c r="J2" s="3" t="inlineStr">
        <is>
          <t>出荷確定自動計上</t>
        </is>
      </c>
    </row>
    <row r="3">
      <c r="A3" s="2" t="n">
        <v>46020</v>
      </c>
      <c r="B3" s="3" t="inlineStr">
        <is>
          <t>JV-251229-078</t>
        </is>
      </c>
      <c r="C3" s="3" t="inlineStr">
        <is>
          <t>株式会社ネオリテール</t>
        </is>
      </c>
      <c r="D3" s="3" t="inlineStr">
        <is>
          <t>SHP-251229-034</t>
        </is>
      </c>
      <c r="E3" s="3" t="inlineStr">
        <is>
          <t>売上高</t>
        </is>
      </c>
      <c r="F3" s="4" t="inlineStr"/>
      <c r="G3" s="4" t="n">
        <v>7600000</v>
      </c>
      <c r="H3" s="3" t="inlineStr">
        <is>
          <t>出荷売上（製品A/B）</t>
        </is>
      </c>
      <c r="I3" s="2" t="n">
        <v>46020</v>
      </c>
      <c r="J3" s="3" t="inlineStr">
        <is>
          <t>出荷確定自動計上</t>
        </is>
      </c>
    </row>
    <row r="4">
      <c r="A4" s="2" t="n">
        <v>46022</v>
      </c>
      <c r="B4" s="3" t="inlineStr">
        <is>
          <t>JV-251231-101</t>
        </is>
      </c>
      <c r="C4" s="3" t="inlineStr">
        <is>
          <t>株式会社アオバ商事</t>
        </is>
      </c>
      <c r="D4" s="3" t="inlineStr">
        <is>
          <t>SHP-251231-009</t>
        </is>
      </c>
      <c r="E4" s="3" t="inlineStr">
        <is>
          <t>売掛金</t>
        </is>
      </c>
      <c r="F4" s="4" t="n">
        <v>3200000</v>
      </c>
      <c r="G4" s="4" t="inlineStr"/>
      <c r="H4" s="3" t="inlineStr">
        <is>
          <t>出荷売上（製品C）</t>
        </is>
      </c>
      <c r="I4" s="2" t="n">
        <v>46022</v>
      </c>
      <c r="J4" s="3" t="inlineStr">
        <is>
          <t>出荷確定自動計上</t>
        </is>
      </c>
    </row>
    <row r="5">
      <c r="A5" s="2" t="n">
        <v>46023</v>
      </c>
      <c r="B5" s="3" t="inlineStr">
        <is>
          <t>JV-260101-004</t>
        </is>
      </c>
      <c r="C5" s="3" t="inlineStr">
        <is>
          <t>株式会社ミナト工業</t>
        </is>
      </c>
      <c r="D5" s="3" t="inlineStr">
        <is>
          <t>SHP-251231-017</t>
        </is>
      </c>
      <c r="E5" s="3" t="inlineStr">
        <is>
          <t>売掛金</t>
        </is>
      </c>
      <c r="F5" s="4" t="n">
        <v>1850000</v>
      </c>
      <c r="G5" s="4" t="inlineStr"/>
      <c r="H5" s="3" t="inlineStr">
        <is>
          <t>出荷売上（製品B）</t>
        </is>
      </c>
      <c r="I5" s="2" t="n">
        <v>46023</v>
      </c>
      <c r="J5" s="3" t="inlineStr">
        <is>
          <t>出荷確定自動計上（年越し）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3" customWidth="1" min="4" max="4"/>
    <col width="45" customWidth="1" min="5" max="5"/>
  </cols>
  <sheetData>
    <row r="1">
      <c r="A1" s="1" t="inlineStr">
        <is>
          <t>出荷番号</t>
        </is>
      </c>
      <c r="B1" s="1" t="inlineStr">
        <is>
          <t>出荷日（証憑）</t>
        </is>
      </c>
      <c r="C1" s="1" t="inlineStr">
        <is>
          <t>売上計上日（仕訳）</t>
        </is>
      </c>
      <c r="D1" s="1" t="inlineStr">
        <is>
          <t>一致</t>
        </is>
      </c>
      <c r="E1" s="1" t="inlineStr">
        <is>
          <t>コメント</t>
        </is>
      </c>
    </row>
    <row r="2">
      <c r="A2" s="3" t="inlineStr">
        <is>
          <t>SHP-251229-034</t>
        </is>
      </c>
      <c r="B2" s="2" t="n">
        <v>46020</v>
      </c>
      <c r="C2" s="2" t="n">
        <v>46020</v>
      </c>
      <c r="D2" s="3">
        <f>IF(B2=C2,"Yes","No")</f>
        <v/>
      </c>
      <c r="E2" s="3" t="inlineStr">
        <is>
          <t>出荷日と計上日が一致</t>
        </is>
      </c>
    </row>
    <row r="3">
      <c r="A3" s="3" t="inlineStr">
        <is>
          <t>SHP-251231-009</t>
        </is>
      </c>
      <c r="B3" s="2" t="n">
        <v>46022</v>
      </c>
      <c r="C3" s="2" t="n">
        <v>46022</v>
      </c>
      <c r="D3" s="3">
        <f>IF(B3=C3,"Yes","No")</f>
        <v/>
      </c>
      <c r="E3" s="3" t="inlineStr">
        <is>
          <t>期末出荷の計上を確認</t>
        </is>
      </c>
    </row>
    <row r="4">
      <c r="A4" s="3" t="inlineStr">
        <is>
          <t>SHP-251231-017</t>
        </is>
      </c>
      <c r="B4" s="2" t="n">
        <v>46022</v>
      </c>
      <c r="C4" s="2" t="n">
        <v>46023</v>
      </c>
      <c r="D4" s="3">
        <f>IF(B4=C4,"Yes","No")</f>
        <v/>
      </c>
      <c r="E4" s="3" t="inlineStr">
        <is>
          <t>翌日計上：システム処理時刻の確認が必要（例外）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2026-01-03T20:17:43Z</dcterms:created>
  <dcterms:modified xmlns:dcterms="http://purl.org/dc/terms/" xmlns:xsi="http://www.w3.org/2001/XMLSchema-instance" xsi:type="dcterms:W3CDTF">2026-01-03T20:17:43Z</dcterms:modified>
</cp:coreProperties>
</file>