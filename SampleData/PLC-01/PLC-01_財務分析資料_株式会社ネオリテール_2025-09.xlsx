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務分析（要約）" sheetId="1" state="visible" r:id="rId1"/>
    <sheet xmlns:r="http://schemas.openxmlformats.org/officeDocument/2006/relationships" name="損益計算書" sheetId="2" state="visible" r:id="rId2"/>
    <sheet xmlns:r="http://schemas.openxmlformats.org/officeDocument/2006/relationships" name="貸借対照表" sheetId="3" state="visible" r:id="rId3"/>
    <sheet xmlns:r="http://schemas.openxmlformats.org/officeDocument/2006/relationships" name="主要指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財務分析サマリー（株式会社ネオリテール）</t>
        </is>
      </c>
    </row>
    <row r="3">
      <c r="A3" s="2" t="inlineStr">
        <is>
          <t>分析対象期</t>
        </is>
      </c>
      <c r="B3" t="inlineStr">
        <is>
          <t>2024/12期、2023/12期（提出決算書）</t>
        </is>
      </c>
    </row>
    <row r="4">
      <c r="A4" s="2" t="inlineStr">
        <is>
          <t>分析日</t>
        </is>
      </c>
      <c r="B4" s="3" t="n">
        <v>45912</v>
      </c>
    </row>
    <row r="5">
      <c r="A5" s="2" t="inlineStr">
        <is>
          <t>推奨与信限度額</t>
        </is>
      </c>
      <c r="B5" s="4" t="n">
        <v>30000000</v>
      </c>
    </row>
    <row r="6">
      <c r="A6" s="2" t="inlineStr">
        <is>
          <t>推奨理由（要約）</t>
        </is>
      </c>
      <c r="B6" s="5" t="inlineStr">
        <is>
          <t>自己資本比率および営業CFが安定。月商・回転期間から、当社出荷想定（平均債権残高）に対して余裕あり。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6" t="inlineStr">
        <is>
          <t>科目</t>
        </is>
      </c>
      <c r="B1" s="6" t="inlineStr">
        <is>
          <t>2024/12期</t>
        </is>
      </c>
      <c r="C1" s="6" t="inlineStr">
        <is>
          <t>2023/12期</t>
        </is>
      </c>
    </row>
    <row r="2">
      <c r="A2" s="7" t="inlineStr">
        <is>
          <t>売上高</t>
        </is>
      </c>
      <c r="B2" s="8" t="n">
        <v>1250000000</v>
      </c>
      <c r="C2" s="8" t="n">
        <v>1120000000</v>
      </c>
    </row>
    <row r="3">
      <c r="A3" s="7" t="inlineStr">
        <is>
          <t>売上原価</t>
        </is>
      </c>
      <c r="B3" s="8" t="n">
        <v>920000000</v>
      </c>
      <c r="C3" s="8" t="n">
        <v>845000000</v>
      </c>
    </row>
    <row r="4">
      <c r="A4" s="7" t="inlineStr">
        <is>
          <t>売上総利益</t>
        </is>
      </c>
      <c r="B4" s="8">
        <f>B2-B3</f>
        <v/>
      </c>
      <c r="C4" s="8">
        <f>C2-C3</f>
        <v/>
      </c>
    </row>
    <row r="5">
      <c r="A5" s="7" t="inlineStr">
        <is>
          <t>販管費</t>
        </is>
      </c>
      <c r="B5" s="8" t="n">
        <v>250000000</v>
      </c>
      <c r="C5" s="8" t="n">
        <v>240000000</v>
      </c>
    </row>
    <row r="6">
      <c r="A6" s="7" t="inlineStr">
        <is>
          <t>営業利益</t>
        </is>
      </c>
      <c r="B6" s="8">
        <f>B4-B5</f>
        <v/>
      </c>
      <c r="C6" s="8">
        <f>C4-C5</f>
        <v/>
      </c>
    </row>
    <row r="7">
      <c r="A7" s="7" t="inlineStr">
        <is>
          <t>経常利益</t>
        </is>
      </c>
      <c r="B7" s="8" t="n">
        <v>52000000</v>
      </c>
      <c r="C7" s="8" t="n">
        <v>44000000</v>
      </c>
    </row>
    <row r="8">
      <c r="A8" s="7" t="inlineStr">
        <is>
          <t>当期純利益</t>
        </is>
      </c>
      <c r="B8" s="8" t="n">
        <v>36000000</v>
      </c>
      <c r="C8" s="8" t="n">
        <v>30000000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6" t="inlineStr">
        <is>
          <t>科目</t>
        </is>
      </c>
      <c r="B1" s="6" t="inlineStr">
        <is>
          <t>2024/12期</t>
        </is>
      </c>
      <c r="C1" s="6" t="inlineStr">
        <is>
          <t>2023/12期</t>
        </is>
      </c>
    </row>
    <row r="2">
      <c r="A2" s="7" t="inlineStr">
        <is>
          <t>流動資産</t>
        </is>
      </c>
      <c r="B2" s="8" t="n">
        <v>420000000</v>
      </c>
      <c r="C2" s="8" t="n">
        <v>380000000</v>
      </c>
    </row>
    <row r="3">
      <c r="A3" s="7" t="inlineStr">
        <is>
          <t>固定資産</t>
        </is>
      </c>
      <c r="B3" s="8" t="n">
        <v>90000000</v>
      </c>
      <c r="C3" s="8" t="n">
        <v>80000000</v>
      </c>
    </row>
    <row r="4">
      <c r="A4" s="7" t="inlineStr">
        <is>
          <t>資産合計</t>
        </is>
      </c>
      <c r="B4" s="8">
        <f>B2+B3</f>
        <v/>
      </c>
      <c r="C4" s="8">
        <f>C2+C3</f>
        <v/>
      </c>
    </row>
    <row r="5">
      <c r="A5" s="7" t="inlineStr">
        <is>
          <t>流動負債</t>
        </is>
      </c>
      <c r="B5" s="8" t="n">
        <v>250000000</v>
      </c>
      <c r="C5" s="8" t="n">
        <v>240000000</v>
      </c>
    </row>
    <row r="6">
      <c r="A6" s="7" t="inlineStr">
        <is>
          <t>固定負債</t>
        </is>
      </c>
      <c r="B6" s="8" t="n">
        <v>50000000</v>
      </c>
      <c r="C6" s="8" t="n">
        <v>60000000</v>
      </c>
    </row>
    <row r="7">
      <c r="A7" s="7" t="inlineStr">
        <is>
          <t>負債合計</t>
        </is>
      </c>
      <c r="B7" s="8">
        <f>B5+B6</f>
        <v/>
      </c>
      <c r="C7" s="8">
        <f>C5+C6</f>
        <v/>
      </c>
    </row>
    <row r="8">
      <c r="A8" s="7" t="inlineStr">
        <is>
          <t>純資産</t>
        </is>
      </c>
      <c r="B8" s="8">
        <f>B4-B7</f>
        <v/>
      </c>
      <c r="C8" s="8">
        <f>C4-C7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8" customWidth="1" min="3" max="3"/>
    <col width="38" customWidth="1" min="4" max="4"/>
    <col width="38" customWidth="1" min="5" max="5"/>
  </cols>
  <sheetData>
    <row r="1">
      <c r="A1" s="6" t="inlineStr">
        <is>
          <t>指標</t>
        </is>
      </c>
      <c r="B1" s="6" t="inlineStr">
        <is>
          <t>算定式（参考）</t>
        </is>
      </c>
      <c r="C1" s="6" t="inlineStr">
        <is>
          <t>2024/12期</t>
        </is>
      </c>
      <c r="D1" s="6" t="inlineStr">
        <is>
          <t>2023/12期</t>
        </is>
      </c>
      <c r="E1" s="6" t="inlineStr">
        <is>
          <t>コメント</t>
        </is>
      </c>
    </row>
    <row r="2">
      <c r="A2" s="7" t="inlineStr">
        <is>
          <t>売上総利益率</t>
        </is>
      </c>
      <c r="B2" s="7" t="inlineStr">
        <is>
          <t>売上総利益/売上高</t>
        </is>
      </c>
      <c r="C2" s="9">
        <f>損益計算書!B4/損益計算書!B2</f>
        <v/>
      </c>
      <c r="D2" s="9">
        <f>損益計算書!C4/損益計算書!C2</f>
        <v/>
      </c>
      <c r="E2" s="7" t="inlineStr">
        <is>
          <t>粗利率は安定（約26%）</t>
        </is>
      </c>
    </row>
    <row r="3">
      <c r="A3" s="7" t="inlineStr">
        <is>
          <t>営業利益率</t>
        </is>
      </c>
      <c r="B3" s="7" t="inlineStr">
        <is>
          <t>営業利益/売上高</t>
        </is>
      </c>
      <c r="C3" s="9">
        <f>損益計算書!B6/損益計算書!B2</f>
        <v/>
      </c>
      <c r="D3" s="9">
        <f>損益計算書!C6/損益計算書!C2</f>
        <v/>
      </c>
      <c r="E3" s="7" t="inlineStr">
        <is>
          <t>販管費は増加も利益率改善</t>
        </is>
      </c>
    </row>
    <row r="4">
      <c r="A4" s="7" t="inlineStr">
        <is>
          <t>自己資本比率</t>
        </is>
      </c>
      <c r="B4" s="7" t="inlineStr">
        <is>
          <t>純資産/資産合計</t>
        </is>
      </c>
      <c r="C4" s="9">
        <f>貸借対照表!B8/貸借対照表!B4</f>
        <v/>
      </c>
      <c r="D4" s="9">
        <f>貸借対照表!C8/貸借対照表!C4</f>
        <v/>
      </c>
      <c r="E4" s="7" t="inlineStr">
        <is>
          <t>20%超で一定の健全性</t>
        </is>
      </c>
    </row>
    <row r="5">
      <c r="A5" s="7" t="inlineStr">
        <is>
          <t>流動比率</t>
        </is>
      </c>
      <c r="B5" s="7" t="inlineStr">
        <is>
          <t>流動資産/流動負債</t>
        </is>
      </c>
      <c r="C5" s="9">
        <f>貸借対照表!B2/貸借対照表!B5</f>
        <v/>
      </c>
      <c r="D5" s="9">
        <f>貸借対照表!C2/貸借対照表!C5</f>
        <v/>
      </c>
      <c r="E5" s="7" t="inlineStr">
        <is>
          <t>短期支払能力は良好</t>
        </is>
      </c>
    </row>
    <row r="6">
      <c r="A6" s="7" t="inlineStr">
        <is>
          <t>売掛金回転期間（日）</t>
        </is>
      </c>
      <c r="B6" s="7" t="inlineStr">
        <is>
          <t>売掛金/売上高×365</t>
        </is>
      </c>
      <c r="C6" s="9">
        <f>(貸借対照表!B2*0+180000000)/損益計算書!B2*365</f>
        <v/>
      </c>
      <c r="D6" s="9">
        <f>(貸借対照表!C2*0+160000000)/損益計算書!C2*365</f>
        <v/>
      </c>
      <c r="E6" s="7" t="inlineStr">
        <is>
          <t>回収は概ね60日程度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2026-01-03T20:16:51Z</dcterms:created>
  <dcterms:modified xmlns:dcterms="http://purl.org/dc/terms/" xmlns:xsi="http://www.w3.org/2001/XMLSchema-instance" xsi:type="dcterms:W3CDTF">2026-01-03T20:16:51Z</dcterms:modified>
</cp:coreProperties>
</file>