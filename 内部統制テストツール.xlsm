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d.docs.live.net/72a91783be00ed05/ドキュメント/VSCode_Dev/PythonDev/ic-test-ai-agent/"/>
    </mc:Choice>
  </mc:AlternateContent>
  <xr:revisionPtr revIDLastSave="717" documentId="13_ncr:1_{47A696E4-E388-4ABB-BFEC-AD82158FD88D}" xr6:coauthVersionLast="47" xr6:coauthVersionMax="47" xr10:uidLastSave="{17C42A4B-54EE-4356-849A-34067B2EFD02}"/>
  <bookViews>
    <workbookView xWindow="-120" yWindow="-120" windowWidth="29040" windowHeight="17520" xr2:uid="{00000000-000D-0000-FFFF-FFFF00000000}"/>
  </bookViews>
  <sheets>
    <sheet name="内部統制評価_5コ" sheetId="1" r:id="rId1"/>
    <sheet name="内部統制評価" sheetId="3" r:id="rId2"/>
    <sheet name="内部統制評価_all" sheetId="2" r:id="rId3"/>
  </sheets>
  <definedNames>
    <definedName name="_xlnm._FilterDatabase" localSheetId="0" hidden="1">内部統制評価_5コ!$A$1:$R$31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3" l="1"/>
  <c r="E14" i="3"/>
  <c r="E13" i="3"/>
  <c r="E12" i="3"/>
  <c r="E11" i="3"/>
  <c r="E10" i="3"/>
  <c r="E9" i="3"/>
  <c r="E8" i="3"/>
  <c r="E7" i="3"/>
  <c r="E6" i="3"/>
  <c r="E5" i="3"/>
  <c r="F6" i="1"/>
  <c r="F5" i="1"/>
</calcChain>
</file>

<file path=xl/sharedStrings.xml><?xml version="1.0" encoding="utf-8"?>
<sst xmlns="http://schemas.openxmlformats.org/spreadsheetml/2006/main" count="288" uniqueCount="167">
  <si>
    <t>テスト番号</t>
  </si>
  <si>
    <t>区分名</t>
  </si>
  <si>
    <t>内部統制の内容</t>
  </si>
  <si>
    <t>テストの方法</t>
  </si>
  <si>
    <t>証憑フォルダ</t>
  </si>
  <si>
    <t>評価結果</t>
  </si>
  <si>
    <t>判断根拠</t>
  </si>
  <si>
    <t>該当文書からの引用</t>
  </si>
  <si>
    <t>ファイル名</t>
  </si>
  <si>
    <t>CLC-01</t>
  </si>
  <si>
    <t>全社的な内部統制</t>
  </si>
  <si>
    <t>【倫理法令遵守】 全役職員を対象としたコンプライアンス研修が年1回実施され、受講状況が人事部によってモニタリングされている。</t>
  </si>
  <si>
    <t>研修実施報告書および受講者リストを閲覧し、全対象者が受講していること、未受講者への督促が行われているかを確認する。</t>
  </si>
  <si>
    <t>SampleData/CLC-01</t>
  </si>
  <si>
    <t>CLC-02</t>
  </si>
  <si>
    <t>【リスク評価】 経営層は年度計画策定時に事業リスク評価を行い、その結果が取締役会にて承認されている。</t>
  </si>
  <si>
    <t>取締役会議事録を閲覧し、リスクアセスメントの結果が報告され、承認を得ていることを確認する。</t>
  </si>
  <si>
    <t>SampleData/CLC-02</t>
  </si>
  <si>
    <t>CLC-03</t>
  </si>
  <si>
    <t>【内部監査】 内部監査室は、年度監査計画に基づき各部門の監査を実施し、指摘事項の改善状況をフォローアップしている。</t>
  </si>
  <si>
    <t>内部監査報告書および改善状況報告書をサンプル抽出し、指摘事項が期限内に改善されているかを確認する。</t>
  </si>
  <si>
    <t>SampleData/CLC-03</t>
  </si>
  <si>
    <t>CLC-04</t>
  </si>
  <si>
    <t>【決裁権限】 職務権限規定に基づき、各部門の承認権限が設定されており、規定外の承認が禁止されている。</t>
  </si>
  <si>
    <t>職務権限規定の最新版を閲覧し、現在の組織図や権限委譲の実態と整合しているかを確認する。</t>
  </si>
  <si>
    <t>SampleData/CLC-04</t>
  </si>
  <si>
    <t>CLC-05</t>
  </si>
  <si>
    <t>【通報制度】 内部通報窓口が設置され、その存在がポータルサイト等で周知されており、通報者の保護が規定されている。</t>
  </si>
  <si>
    <t>従業員向けポータルサイトの掲示内容を確認し、通報内容が適切に秘匿・処理されている記録を閲覧する。</t>
  </si>
  <si>
    <t>SampleData/CLC-05</t>
  </si>
  <si>
    <t>PLC-01</t>
  </si>
  <si>
    <t>業務プロセス統制</t>
  </si>
  <si>
    <t>【販売：与信】 新規取引開始時に、財務状況に基づき与信限度額が設定され、営業部長および経理部長の承認を得ている。</t>
  </si>
  <si>
    <t>サンプル抽出した新規取引の与信申請書を閲覧し、規定通りの承認印および財務分析資料が添付されているかを確認する。</t>
  </si>
  <si>
    <t>SampleData/PLC-01</t>
  </si>
  <si>
    <t>PLC-02</t>
  </si>
  <si>
    <t>【販売：受注】 受注入力時に、ERPシステム上で与信限度額を超過する注文に対し、自動的にブロックがかかる設定となっている。</t>
  </si>
  <si>
    <t>テスト環境または実データにおいて、意図的に与信限度を超過する受注を入力し、システムがエラーを出力することを確認する。</t>
  </si>
  <si>
    <t>SampleData/PLC-02</t>
  </si>
  <si>
    <t>PLC-03</t>
  </si>
  <si>
    <t>【販売：売上】 出荷データに基づき売上計上が自動で行われ、出荷日と計上日が一致する仕組みとなっている。</t>
  </si>
  <si>
    <t>出荷指示書と売上仕訳の日付を照合し、期間帰属（カットオフ）が適切に行われていることを確認する。</t>
  </si>
  <si>
    <t>SampleData/PLC-03</t>
  </si>
  <si>
    <t>PLC-04</t>
  </si>
  <si>
    <t>【購買：発注】 100万円以上の発注について、3社以上の相見積もりを取得し、選定理由書を作成して部長承認を得ている。</t>
  </si>
  <si>
    <t>100万円以上の購買案件を抽出し、相見積書および承認済みの選定理由書が揃っているかを確認する。</t>
  </si>
  <si>
    <t>SampleData/PLC-04</t>
  </si>
  <si>
    <t>PLC-05</t>
  </si>
  <si>
    <t>【購買：検収】 納入品と発注書の照合が行われ、検収担当者がシステム上で検収登録を行うことで支払債務が確定する。</t>
  </si>
  <si>
    <t>物品受領書とシステム上の検収記録を照合し、不一致がないこと、および担当者の権限が適切かを確認する。</t>
  </si>
  <si>
    <t>SampleData/PLC-05</t>
  </si>
  <si>
    <t>PLC-06</t>
  </si>
  <si>
    <t>【購買：支払】 振込データの作成者と承認者が分離されており、FBデータの送信には承認者の電子証明書が必要である。</t>
  </si>
  <si>
    <t>支払フローを確認し、振込実行時のシステムログから、作成者と承認者が同一人物でないことを確認する。</t>
  </si>
  <si>
    <t>SampleData/PLC-06</t>
  </si>
  <si>
    <t>PLC-07</t>
  </si>
  <si>
    <t>【在庫：棚卸】 半期に一度、現物棚卸が実施され、システム在庫との差異について理由分析と棚卸差損益の計上承認が行われている。</t>
  </si>
  <si>
    <t>棚卸実施要領および棚卸結果報告書を閲覧し、差異分析の結果に責任者の承認印があることを確認する。</t>
  </si>
  <si>
    <t>PLC-08</t>
  </si>
  <si>
    <t>【財務：仕訳】 全ての振替伝票は、作成者以外の権限者によって内容の正確性が確認・承認された後に確定される。</t>
  </si>
  <si>
    <t>会計システムから仕訳データを抽出し、作成者（Prepared by）と承認者（Approved by）が異なっているかを確認する。</t>
  </si>
  <si>
    <t>PLC-09</t>
  </si>
  <si>
    <t>【財務：月次】 月次決算時に、銀行残高と帳簿残高の照合（銀行勘定調整）が行われ、未達事項が適切に処理されている。</t>
  </si>
  <si>
    <t>銀行勘定調整表を閲覧し、銀行発行の残高証明書と帳簿残高が一致しているか、差異の理由は妥当かを確認する。</t>
  </si>
  <si>
    <t>PLC-10</t>
  </si>
  <si>
    <t>【固定資産】 固定資産台帳と現物の符号を確認するため、年1回の現物確認調査が実施され、除却処理が適切に行われている。</t>
  </si>
  <si>
    <t>固定資産現物調査リストを閲覧し、所在不明や廃棄済みの資産が適切に台帳から除外されているかを確認する。</t>
  </si>
  <si>
    <t>PLC-11</t>
  </si>
  <si>
    <t>【給与：計算】 勤怠データに基づき給与計算が行われ、残業代計算ロジックが最新の労基法に準拠しているか人事部長が確認している。</t>
  </si>
  <si>
    <t>給与計算明細と勤怠記録を突合し、残業代の計算式が規定（法定割増率など）通りであることを再計算により確認する。</t>
  </si>
  <si>
    <t>PLC-12</t>
  </si>
  <si>
    <t>【給与：変更】 昇給や家族手当の変更は、辞令または届出書に基づき入力され、人事部次長が証憑と入力を照合している。</t>
  </si>
  <si>
    <t>給与マスターの変更履歴を抽出し、変更の根拠となる届出書と承認記録が保存されているかを確認する。</t>
  </si>
  <si>
    <t>PLC-13</t>
  </si>
  <si>
    <t>【原価：配賦】 製造経費の配賦基準（作業時間等）が適切に設定され、実際原価計算結果が毎月製造本部長に報告されている。</t>
  </si>
  <si>
    <t>原価計算報告書を閲覧し、配賦基準が年度計画と乖離していないか、異常値に対する分析がなされているかを確認する。</t>
  </si>
  <si>
    <t>PLC-14</t>
  </si>
  <si>
    <t>【税務：申告】 法人税等の申告書案は、外部税理士のレビューを受けた後、CFOによって最終承認されている。</t>
  </si>
  <si>
    <t>税務申告書の控えおよび税理士のレビューメール、社内決裁書を閲覧し、承認プロセスを確認する。</t>
  </si>
  <si>
    <t>PLC-15</t>
  </si>
  <si>
    <t>【決裁：開示】 決算短信および有価証券報告書の作成数値は、決算数値と整合しているか開示委員会にて検証されている。</t>
  </si>
  <si>
    <t>開示委員会の議事録を閲覧し、開示書類のドラフトと会計数値の照合チェックが行われた記録を確認する。</t>
  </si>
  <si>
    <t>ITGC-01</t>
  </si>
  <si>
    <t>IT全般統制</t>
  </si>
  <si>
    <t>【ID管理】 ユーザーIDの登録・変更は申請書に基づき情報システム部が実施し、退職者のIDは即日停止されている。</t>
  </si>
  <si>
    <t>直近の退職者リストをサンプル抽出し、退職日当日にシステムアカウントが「無効」に変更されているかを確認する。</t>
  </si>
  <si>
    <t>ITGC-02</t>
  </si>
  <si>
    <t>【権限管理】 システム上の職務権限（ロール）は、担当業務に必要な最小限の権限（Need-to-know）に制限されている。</t>
  </si>
  <si>
    <t>ユーザー権限一覧表を抽出し、営業担当者に経理処理権限が付与されている等の不適切な兼務がないかを確認する。</t>
  </si>
  <si>
    <t>ITGC-03</t>
  </si>
  <si>
    <t>【特権ID】 管理者権限（Administrator/root）の利用は、作業申請に基づき一時的に許可され、作業後にログが確認されている。</t>
  </si>
  <si>
    <t>特権ID利用申請書と、実際のシステム操作ログを照合し、申請外の時間帯や目的外の利用がないかを確認する。</t>
  </si>
  <si>
    <t>ITGC-04</t>
  </si>
  <si>
    <t>【定期レビュー】 四半期に一度、全システムアカウントの棚卸を実施し、不要なアカウントや不要な権限の削除を行っている。</t>
  </si>
  <si>
    <t>アカウント棚卸実施報告書を閲覧し、未稼働アカウントの削除指示および実行結果が記録されているかを確認する。</t>
  </si>
  <si>
    <t>ITGC-05</t>
  </si>
  <si>
    <t>【変更管理】 本番環境へのプログラム適用（リリース）は、開発担当者以外の移行担当者が承認後に実施している。</t>
  </si>
  <si>
    <t>リリース管理表をサンプル抽出し、開発・テスト・リリースの各工程で担当者が分離され、承認印があるかを確認する。</t>
  </si>
  <si>
    <t>ITGC-06</t>
  </si>
  <si>
    <t>【開発：テスト】 新機能の開発において、ユーザー受入テスト（UAT）が実施され、ユーザー部門責任者の承認を得てから移行している。</t>
  </si>
  <si>
    <t>UAT計画書およびユーザー承認サイン済みのテスト完了報告書を閲覧し、期待通りの動作が確認されているかを確認する。</t>
  </si>
  <si>
    <t>ITGC-07</t>
  </si>
  <si>
    <t>【運用：バックアップ】 日次でシステムデータのバックアップが自動取得され、エラー時には運用担当者に通知される。</t>
  </si>
  <si>
    <t>バックアップ実行ログを閲覧し、直近1ヶ月間で欠落なく取得されていること、エラー時のリカバリ記録があるかを確認する。</t>
  </si>
  <si>
    <t>ITGC-08</t>
  </si>
  <si>
    <t>【運用：ジョブ】 バッチ処理（夜間連携等）の正常終了が毎朝確認され、異常終了時は手順書に従い再実行されている。</t>
  </si>
  <si>
    <t>ジョブ運行管理ログを抽出し、エラー発生時に規定の連絡フローおよびリラン（再実行）が行われたかを確認する。</t>
  </si>
  <si>
    <t>ITGC-09</t>
  </si>
  <si>
    <t>【物理：セキュリティ】 サーバールームへの入退室はICカードで制限され、入退室ログが6ヶ月間保存されている。</t>
  </si>
  <si>
    <t>サーバールームの入退室ログを抽出し、未承認の人物が入室していないか、または不自然な時間帯の入室がないかを確認する。</t>
  </si>
  <si>
    <t>ITGC-10</t>
  </si>
  <si>
    <t>【外部委託】 システム保守を外部委託している場合、委託先のサービス受託業務に関する内部統制報告書（SOC1/SOC2）を受領し、評価している。</t>
  </si>
  <si>
    <t>委託先から受領したSOC報告書および、自社に影響する「利用者側の補完統制」の対応状況記録を閲覧する。</t>
  </si>
  <si>
    <t>非有効</t>
  </si>
  <si>
    <t>全役職員を対象としたコンプライアンス研修が年1回実施され、受講状況が人事部によってモニタリングされている。</t>
    <phoneticPr fontId="1"/>
  </si>
  <si>
    <t>C:\Users\goyos\OneDrive\ドキュメント\VSCode_Dev\PythonDev\ic-test-ai-agent\SampleData\CLC-01</t>
    <phoneticPr fontId="1"/>
  </si>
  <si>
    <t>CLC-01_コンプライアンス研修実施報告書_2025年度.pdf</t>
  </si>
  <si>
    <t>CLC-01_研修受講者リスト_2025年度.xlsx</t>
  </si>
  <si>
    <t>証憑ファイル名1</t>
    <rPh sb="0" eb="2">
      <t>ショウヒョウ</t>
    </rPh>
    <phoneticPr fontId="1"/>
  </si>
  <si>
    <t>証憑ファイル名2</t>
    <rPh sb="0" eb="2">
      <t>ショウヒョウ</t>
    </rPh>
    <phoneticPr fontId="1"/>
  </si>
  <si>
    <t>証憑ファイル名3</t>
    <rPh sb="0" eb="2">
      <t>ショウヒョウ</t>
    </rPh>
    <phoneticPr fontId="1"/>
  </si>
  <si>
    <t>証憑ファイル名4</t>
    <rPh sb="0" eb="2">
      <t>ショウヒョウ</t>
    </rPh>
    <phoneticPr fontId="1"/>
  </si>
  <si>
    <t>証憑ファイル名5</t>
    <rPh sb="0" eb="2">
      <t>ショウヒョウ</t>
    </rPh>
    <phoneticPr fontId="1"/>
  </si>
  <si>
    <t>証憑ファイル名6</t>
    <rPh sb="0" eb="2">
      <t>ショウヒョウ</t>
    </rPh>
    <phoneticPr fontId="1"/>
  </si>
  <si>
    <t>証憑ファイル名7</t>
    <rPh sb="0" eb="2">
      <t>ショウヒョウ</t>
    </rPh>
    <phoneticPr fontId="1"/>
  </si>
  <si>
    <t>証憑ファイル名8</t>
    <rPh sb="0" eb="2">
      <t>ショウヒョウ</t>
    </rPh>
    <phoneticPr fontId="1"/>
  </si>
  <si>
    <t>C:\Users\goyos\OneDrive\ドキュメント\VSCode_Dev\PythonDev\ic-test-ai-agent\SampleData\CLC-02</t>
    <phoneticPr fontId="1"/>
  </si>
  <si>
    <t>C:\Users\goyos\OneDrive\ドキュメント\VSCode_Dev\PythonDev\ic-test-ai-agent\SampleData\CLC-03</t>
    <phoneticPr fontId="1"/>
  </si>
  <si>
    <t>経営層は年度計画策定時に事業リスク評価を行い、その結果が取締役会にて承認されている。</t>
    <phoneticPr fontId="1"/>
  </si>
  <si>
    <t>内部監査室は、年度監査計画に基づき各部門の監査を実施し、指摘事項の改善状況をフォローアップしている。</t>
    <phoneticPr fontId="1"/>
  </si>
  <si>
    <t>研修実施報告書および受講者リストを閲覧し、全対象者が受講していること、未受講者への督促が行われているかを確認する。</t>
    <phoneticPr fontId="1"/>
  </si>
  <si>
    <t>取締役会議事録を閲覧し、リスクアセスメントの結果が報告され、承認を得ていることを確認する。</t>
    <phoneticPr fontId="1"/>
  </si>
  <si>
    <t>内部監査報告書および改善状況報告書をサンプル抽出し、指摘事項が期限内に改善されているかを確認する。</t>
    <phoneticPr fontId="1"/>
  </si>
  <si>
    <t>CLC-02_事業リスク評価結果_2025年度.xlsx</t>
  </si>
  <si>
    <t>CLC-02_取締役会議事録_2025-04-25.docx</t>
  </si>
  <si>
    <t>職務権限規定に基づき、各部門の承認権限が設定されており、規定外の承認が禁止されている。</t>
    <phoneticPr fontId="1"/>
  </si>
  <si>
    <t>内部通報窓口が設置され、その存在がポータルサイト等で周知されており、通報者の保護が規定されている。</t>
    <phoneticPr fontId="1"/>
  </si>
  <si>
    <t>新規取引開始時に、財務状況に基づき与信限度額が設定され、営業部長および経理部長の承認を得ている。</t>
    <phoneticPr fontId="1"/>
  </si>
  <si>
    <t>受注入力時に、ERPシステム上で与信限度額を超過する注文に対し、自動的にブロックがかかる設定となっている。</t>
    <phoneticPr fontId="1"/>
  </si>
  <si>
    <t>出荷データに基づき売上計上が自動で行われ、出荷日と計上日が一致する仕組みとなっている。</t>
    <phoneticPr fontId="1"/>
  </si>
  <si>
    <t>100万円以上の発注について、3社以上の相見積もりを取得し、選定理由書を作成して部長承認を得ている。</t>
    <phoneticPr fontId="1"/>
  </si>
  <si>
    <t>納入品と発注書の照合が行われ、検収担当者がシステム上で検収登録を行うことで支払債務が確定する。</t>
    <phoneticPr fontId="1"/>
  </si>
  <si>
    <t>振込データの作成者と承認者が分離されており、FBデータの送信には承認者の電子証明書が必要である。</t>
    <phoneticPr fontId="1"/>
  </si>
  <si>
    <t>半期に一度、現物棚卸が実施され、システム在庫との差異について理由分析と棚卸差損益の計上承認が行われている。</t>
    <phoneticPr fontId="1"/>
  </si>
  <si>
    <t>全ての振替伝票は、作成者以外の権限者によって内容の正確性が確認・承認された後に確定される。</t>
    <phoneticPr fontId="1"/>
  </si>
  <si>
    <t>月次決算時に、銀行残高と帳簿残高の照合（銀行勘定調整）が行われ、未達事項が適切に処理されている。</t>
    <phoneticPr fontId="1"/>
  </si>
  <si>
    <t>タスク計画</t>
    <rPh sb="3" eb="5">
      <t>ケイカク</t>
    </rPh>
    <phoneticPr fontId="1"/>
  </si>
  <si>
    <t>○ A3: 構造化データ抽出
○ A1: 意味検索（セマンティックサーチ）
○ A6: 複数文書統合理解（マルチ文書理解）
× A4: 段階的推論 + 計算</t>
  </si>
  <si>
    <t>テスト手続きでは、研修実施報告書と受講者リストを閲覧して全対象者の受講状況と未受講者への督促の実施を確認した。Excelの実施概要に基づくと、対象者数60名中受講済53名、未受講3名、期限後受講4名であり、未受講3名には2025-12-09、期限後受講者には2025-12-02の督促が実施されている。一方、PDFソースは閲覧不能のため外部突合が未実施で完全な証跡は確定できない。結果として全員が受講済みとは言えず、統制は監督と督促の運用はされているものの不備が残る。</t>
  </si>
  <si>
    <t>【CLC-01_研修受講者リスト_2025年度.xlsx】 (Excel実施概要および受講者一覧)
「対象者数 60、対象者全員、受講済 53、未受講 3、期限後受講 4、実施日 2025-11-18、実施方法 eラーニング＋理解度テスト、主管は法務コンプライアンス室、受講管理は人事総務部。」
「未受講者: TTC0007、TTC0023、TTC0043」
「期限後受講者: TTC0038、TTC0053、TTC0059、TTC0060」
「督促日: 2025-12-09」
「期限後受講者には督促日が 2025-12-02」</t>
  </si>
  <si>
    <t>○ A1: 意味検索（セマンティックサーチ）
× A3: 構造化データ抽出
× A6: 複数文書統合理解（マルチ文書理解）
× A2: 画像認識 + 情報抽出
× A5: 意味検索 + 推論</t>
  </si>
  <si>
    <t>取締役会議事録を閲覧してリスクアセスメントの報告と承認を確認する手続を実施した。証跡から、取締役会報告の頻度や承認フローの存在はリスク一覧シートに示されているが、実際の取締役会議事録の承認証拠は未確認である。取締役会議録ファイルは未対応形式で閲覧不能であり、公式な承認記録が欠如している。以上のため、内部統制は現時点で完全には有効とは言えず、承認証拠の取得と閾値適用の整備が必要である。</t>
  </si>
  <si>
    <t>【CLC-02_取締役会議事録_2025-04-25.docx】 (N/A)
「取締役会議録ファイル『CLC-02_取締役会議録_2025-04-25.docx』は未対応形式のため、 minutes の実体は確認できません。」
【CLC-02_事業リスク評価結果_2025年度.xlsx】 (Sheet: リスク一覧 / 現状の統制（要約）)
「同シートの『現状の統制（要約）』には「主要統制：月次モニタリング／承認フロー／アクセス制御」と、承認手続きの存在が示されています。」
「金額基準：リスク一覧のリスクスコア列が空欄（EvidenceSource: CLC-02_事業リスク評価結果_2025年度.xlsx – シート: リスク一覧）。」</t>
  </si>
  <si>
    <t>PLC-04_PR-2025-1107_相見積書_東亜エレクトロニクス_Q-TA-251107.pdf</t>
  </si>
  <si>
    <t>PLC-04_PR-2025-1107_選定理由書_部長承認済.docx</t>
  </si>
  <si>
    <t>テスト対象</t>
    <rPh sb="3" eb="5">
      <t>タイショウ</t>
    </rPh>
    <phoneticPr fontId="1"/>
  </si>
  <si>
    <t>有効</t>
  </si>
  <si>
    <t>CLC-03_内部監査報告書_購買部_2025-07-31.docx</t>
  </si>
  <si>
    <t>CLC-03_改善状況報告書_フォローアップ_2025-11-30.xlsx</t>
  </si>
  <si>
    <t>【A3:データ抽出】
全対象者の受講状況を数値として確認し、報告書と受講者リストの間で受講者数が一致していることを検証する。研修実施報告書から対象者総数と受講済み者数を抽出し、研修受講者リストから実際の受講者数・名簿を抽出する。両証跡の受講者名簿を突合して、全対象者が受講済みであるかを確認する。未受講者が判明した場合は、報告書に未受講者への督促が記録されているか、または督促の実施痕跡があるかを確認する。具体的には、対象者総数と受講済み者数の整合性、実際の受講者リストと報告書の受講者数の一致、未受講者がいる場合の督促記録の有無、未受講者のリスト（名前・部門等）の検証を確認する。</t>
  </si>
  <si>
    <t>研修実施報告書および研修受講者リストを閲覧したところ、対象者総数と受講済み者数が一致し、未受講者が存在する場合の督促記録がPDFに残っていることを確認した。PDFには12/02の一斉督促と12/09の個別督促の両方の記録が示され、一方Excelには12/09のみの記録が反映されていた。監査証跡として12/02の自動通知の存在も確認でき、追加の督促履歴の整合性を別手続きで検証することが推奨される。全体として、年1回のコンプライアンス研修実施と人事部による受講状況モニタリングという設計は整備されており、運用面でも未受講者への督促が適時に行われている。以上の証跡に基づき、本統制は有効と判断する。</t>
  </si>
  <si>
    <t>【A1:意味検索】
このタスクを実行する目的。取締役会議事録を閲覧し、2025年度の事業リスク評価結果が議題として報告され、取締役会によって承認された旨が議事録に記録されていることを確認する。具体的には、リスクアセスメント結果が議題として挙げられ報告があったこと、議事録に“承認”の記載があり、取締役会の承認が明記されていること、会議日付・会議名・議事録作成者・署名等の形式要件が満たされていることを確認する。</t>
  </si>
  <si>
    <t>取締役会議事録と事業リスク評価結果の承認に関する証跡を確認した。取締役会議事録において、2025年度事業リスク評価結果が第2号議案として説明され、承認を得ていることが明示されており、会議日付は2025-04-25、議事録作成者名および署名等の形式要件も満たされている。別紙として添付された事業リスク評価結果_2025年度.xlsxには、リスク項目と評価結果の一覧が含まれており、議題報告と承認の事実と整合する。これにより、統制設計（年度計画策定時のリスク評価の実施と取締役会承認）と運用（議事録上の承認記録）の両方が有効である。</t>
  </si>
  <si>
    <t>[CLC-02_取締役会議事録_2025-04-25.docx] 議事録 第2号議案セクション, 2025-04-25：
第2号議案 2025年度 事業リスク評価結果（別紙：事業リスク評価結果_2025年度）を承認する。議題(2) 経営企画部より、年度計画策定に伴う事業リスク評価の結果について資料に基づき報告があった。
[CLC-02_事業リスク評価結果_2025年度.xlsx] シート名：事業リスク評価結果_2025年度：
別紙：事業リスク評価結果_2025年度には、リスク項目別の評価結果および重要性区分が記載されている。</t>
  </si>
  <si>
    <t>【A7:パターン分析】
複数期間の継続実施の有無を検証する。内部監査報告書および改善状況報告書のサンプルを閲覧し、各指摘事項について設定された改善期限と、改善状況報告書における期限内の完了が記録されていることを、期間別に比較して確認する。さらに、複数期間にわたり同一部門の指摘事項が再発・再提出されていないか、過去期間の改善が継続して適用されているかを確認する。具体的には、各証跡に記載された指摘事項ごとに期限が設定されていること、改善状況報告書において期限内に「完了/クローズ」されていることが記載されていること、時系列での記録を比較し、過去期間の指摘事項が再発していないこと、改善が複数期間にわたり継続して実施されていることを確認する。</t>
  </si>
  <si>
    <t>証跡として、CLC-03_内部監査報告書_購買部_2025-07-31.docxには、監査対象期間2025/4/1-2025/6/30に関する指摘事項と是正状況が記載され、F-01およびF-02は期限内に是正済みと判断されている旨の記述が確認できる。改善状況報告書_フォローアップ_2025-11-30.xlsxには、F-01・F-02の改善完了が示され、F-03は進行中であるとの記載がある。これらの証跡と期間の対応状況を総合すると、複数期間にわたる指摘事項のうちF-03の完了が未確定であり、年度内の全体統制の達成は不完全と判断される。フォローアップ記録の存在は補完的運用を示すが、最終完了日を確定させる追跡が必要である点を留意する。</t>
  </si>
  <si>
    <t>[CLC-03_内部監査報告書_購買部_2025-07-31.docx] 総論/本文：
監査対象期間：2025/4/1-2025/6/30。購買部の主要統制は概ね有効とされるが、F-01の証跡不足・F-02の定期棚卸未実施・F-03の代行設定手続きが不明確という指摘が存在。
[CLC-03_内部監査報告書_購買部_2025-07-31.docx] 総論/本文：
F-01とF-02は期日内に是正済みと判断されているが、F-03は進行中である。今後の運用開始日を確定させる追跡を強化するべきである。
[CLC-03_改善状況報告書_フォローアップ_2025-11-30.xlsx] シート: 改善状況：
改善状況報告書のフォローアップ欄には、F-01・F-02の改善が完了と記載され、F-03は進行中であると整理されている。
[CLC-03_改善状況報告書_フォローアップ_2025-11-30.xlsx] シート: 改善状況：
時系列での記録を比較し、過去期間の指摘事項が再発していないことを確認する。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</si>
</sst>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u/>
      <sz val="11"/>
      <color theme="10"/>
      <name val="游ゴシック"/>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5" tint="0.79998168889431442"/>
        <bgColor indexed="64"/>
      </patternFill>
    </fill>
    <fill>
      <patternFill patternType="solid">
        <fgColor theme="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14">
    <xf numFmtId="0" fontId="0" fillId="0" borderId="0" xfId="0">
      <alignment vertical="center"/>
    </xf>
    <xf numFmtId="0" fontId="0" fillId="2" borderId="1" xfId="0" applyFill="1" applyBorder="1" applyAlignment="1">
      <alignment horizontal="left" vertical="top"/>
    </xf>
    <xf numFmtId="0" fontId="0" fillId="3" borderId="1" xfId="0" applyFill="1" applyBorder="1" applyAlignment="1">
      <alignment horizontal="left" vertical="top" wrapText="1"/>
    </xf>
    <xf numFmtId="0" fontId="0" fillId="3" borderId="1" xfId="0" applyFill="1" applyBorder="1" applyAlignment="1">
      <alignment horizontal="left" vertical="top"/>
    </xf>
    <xf numFmtId="0" fontId="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4" fillId="0" borderId="1" xfId="1" applyBorder="1" applyAlignment="1">
      <alignment horizontal="left" vertical="top" wrapText="1"/>
    </xf>
    <xf numFmtId="0" fontId="0" fillId="2" borderId="1" xfId="0" applyFill="1" applyBorder="1" applyAlignment="1">
      <alignment horizontal="left" vertical="top" wrapText="1"/>
    </xf>
    <xf numFmtId="0" fontId="0" fillId="0" borderId="0" xfId="0" applyAlignment="1">
      <alignment vertical="center" wrapText="1"/>
    </xf>
    <xf numFmtId="0" fontId="3" fillId="0" borderId="1" xfId="0" applyFont="1" applyBorder="1" applyAlignment="1">
      <alignment horizontal="left" vertical="top"/>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0</xdr:row>
          <xdr:rowOff>276225</xdr:rowOff>
        </xdr:from>
        <xdr:to>
          <xdr:col>6</xdr:col>
          <xdr:colOff>628650</xdr:colOff>
          <xdr:row>0</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266700</xdr:rowOff>
        </xdr:from>
        <xdr:to>
          <xdr:col>7</xdr:col>
          <xdr:colOff>590550</xdr:colOff>
          <xdr:row>0</xdr:row>
          <xdr:rowOff>485775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0</xdr:row>
          <xdr:rowOff>276225</xdr:rowOff>
        </xdr:from>
        <xdr:to>
          <xdr:col>5</xdr:col>
          <xdr:colOff>628650</xdr:colOff>
          <xdr:row>0</xdr:row>
          <xdr:rowOff>476250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1</xdr:row>
          <xdr:rowOff>209550</xdr:rowOff>
        </xdr:from>
        <xdr:to>
          <xdr:col>10</xdr:col>
          <xdr:colOff>447675</xdr:colOff>
          <xdr:row>1</xdr:row>
          <xdr:rowOff>533400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file:///C:\Users\goyos\OneDrive\&#12489;&#12461;&#12517;&#12513;&#12531;&#12488;\VSCode_Dev\PythonDev\ic-test-ai-agent\SampleData\CLC-01\CLC-01_&#30740;&#20462;&#21463;&#35611;&#32773;&#12522;&#12473;&#12488;_2025&#24180;&#24230;.xlsx" TargetMode="External"/><Relationship Id="rId7" Type="http://schemas.openxmlformats.org/officeDocument/2006/relationships/hyperlink" Target="file:///C:\Users\goyos\OneDrive\&#12489;&#12461;&#12517;&#12513;&#12531;&#12488;\VSCode_Dev\PythonDev\ic-test-ai-agent\SampleData\CLC-03\CLC-03_&#25913;&#21892;&#29366;&#27841;&#22577;&#21578;&#26360;_&#12501;&#12457;&#12525;&#12540;&#12450;&#12483;&#12503;_2025-11-30.xlsx" TargetMode="External"/><Relationship Id="rId2" Type="http://schemas.openxmlformats.org/officeDocument/2006/relationships/hyperlink" Target="file:///C:\Users\goyos\OneDrive\&#12489;&#12461;&#12517;&#12513;&#12531;&#12488;\VSCode_Dev\PythonDev\ic-test-ai-agent\SampleData\CLC-01\CLC-01_&#12467;&#12531;&#12503;&#12521;&#12452;&#12450;&#12531;&#12473;&#30740;&#20462;&#23455;&#26045;&#22577;&#21578;&#26360;_2025&#24180;&#24230;.pdf" TargetMode="External"/><Relationship Id="rId1" Type="http://schemas.openxmlformats.org/officeDocument/2006/relationships/hyperlink" Target="SampleData/CLC-01" TargetMode="External"/><Relationship Id="rId6" Type="http://schemas.openxmlformats.org/officeDocument/2006/relationships/hyperlink" Target="file:///C:\Users\goyos\OneDrive\&#12489;&#12461;&#12517;&#12513;&#12531;&#12488;\VSCode_Dev\PythonDev\ic-test-ai-agent\SampleData\CLC-03\CLC-03_&#20869;&#37096;&#30435;&#26619;&#22577;&#21578;&#26360;_&#36092;&#36023;&#37096;_2025-07-31.docx" TargetMode="External"/><Relationship Id="rId11" Type="http://schemas.openxmlformats.org/officeDocument/2006/relationships/ctrlProp" Target="../ctrlProps/ctrlProp2.xml"/><Relationship Id="rId5" Type="http://schemas.openxmlformats.org/officeDocument/2006/relationships/hyperlink" Target="file:///C:\Users\goyos\OneDrive\&#12489;&#12461;&#12517;&#12513;&#12531;&#12488;\VSCode_Dev\PythonDev\ic-test-ai-agent\SampleData\CLC-02\CLC-02_&#21462;&#32224;&#24441;&#20250;&#35696;&#20107;&#37682;_2025-04-25.docx" TargetMode="External"/><Relationship Id="rId10" Type="http://schemas.openxmlformats.org/officeDocument/2006/relationships/ctrlProp" Target="../ctrlProps/ctrlProp1.xml"/><Relationship Id="rId4" Type="http://schemas.openxmlformats.org/officeDocument/2006/relationships/hyperlink" Target="file:///C:\Users\goyos\OneDrive\&#12489;&#12461;&#12517;&#12513;&#12531;&#12488;\VSCode_Dev\PythonDev\ic-test-ai-agent\SampleData\CLC-02\CLC-02_&#20107;&#26989;&#12522;&#12473;&#12463;&#35413;&#20385;&#32080;&#26524;_2025&#24180;&#24230;.xlsx"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SampleData/CLC-02/CLC-02_&#20107;&#26989;&#12522;&#12473;&#12463;&#35413;&#20385;&#32080;&#26524;_2025&#24180;&#24230;.xlsx" TargetMode="External"/><Relationship Id="rId7" Type="http://schemas.openxmlformats.org/officeDocument/2006/relationships/drawing" Target="../drawings/drawing2.xml"/><Relationship Id="rId2" Type="http://schemas.openxmlformats.org/officeDocument/2006/relationships/hyperlink" Target="SampleData/CLC-01/CLC-01_&#30740;&#20462;&#21463;&#35611;&#32773;&#12522;&#12473;&#12488;_2025&#24180;&#24230;.xlsx" TargetMode="External"/><Relationship Id="rId1" Type="http://schemas.openxmlformats.org/officeDocument/2006/relationships/hyperlink" Target="SampleData/CLC-01/CLC-01_&#12467;&#12531;&#12503;&#12521;&#12452;&#12450;&#12531;&#12473;&#30740;&#20462;&#23455;&#26045;&#22577;&#21578;&#26360;_2025&#24180;&#24230;.pdf" TargetMode="External"/><Relationship Id="rId6" Type="http://schemas.openxmlformats.org/officeDocument/2006/relationships/hyperlink" Target="SampleData/PLC-04/PLC-04_PR-2025-1107_&#36984;&#23450;&#29702;&#30001;&#26360;_&#37096;&#38263;&#25215;&#35469;&#28168;.docx" TargetMode="External"/><Relationship Id="rId5" Type="http://schemas.openxmlformats.org/officeDocument/2006/relationships/hyperlink" Target="SampleData/PLC-04/PLC-04_PR-2025-1107_&#30456;&#35211;&#31309;&#26360;_&#26481;&#20124;&#12456;&#12524;&#12463;&#12488;&#12525;&#12491;&#12463;&#12473;_Q-TA-251107.pdf" TargetMode="External"/><Relationship Id="rId4" Type="http://schemas.openxmlformats.org/officeDocument/2006/relationships/hyperlink" Target="SampleData/CLC-02/CLC-02_&#21462;&#32224;&#24441;&#20250;&#35696;&#20107;&#37682;_2025-04-25.docx" TargetMode="Externa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31"/>
  <sheetViews>
    <sheetView tabSelected="1" zoomScale="131" zoomScaleNormal="85" workbookViewId="0">
      <pane xSplit="6" ySplit="1" topLeftCell="I2" activePane="bottomRight" state="frozen"/>
      <selection pane="topRight" activeCell="F1" sqref="F1"/>
      <selection pane="bottomLeft" activeCell="A2" sqref="A2"/>
      <selection pane="bottomRight" activeCell="I3" sqref="I3"/>
    </sheetView>
  </sheetViews>
  <sheetFormatPr defaultRowHeight="18.75" x14ac:dyDescent="0.4"/>
  <cols>
    <col min="1" max="2" width="9.75" style="9" customWidth="1"/>
    <col min="3" max="3" width="8.5" style="8" customWidth="1"/>
    <col min="4" max="4" width="18" style="9" customWidth="1"/>
    <col min="5" max="5" width="15.5" style="9" customWidth="1"/>
    <col min="6" max="6" width="13.375" style="9" customWidth="1"/>
    <col min="7" max="7" width="9.25" style="9" bestFit="1" customWidth="1"/>
    <col min="8" max="8" width="54" style="9" customWidth="1"/>
    <col min="9" max="9" width="49.875" style="9" customWidth="1"/>
    <col min="10" max="10" width="76" style="9" customWidth="1"/>
    <col min="11" max="18" width="17" style="9" customWidth="1"/>
    <col min="19" max="16384" width="9" style="12"/>
  </cols>
  <sheetData>
    <row r="1" spans="1:18" ht="42.75" customHeight="1" x14ac:dyDescent="0.4">
      <c r="A1" s="11" t="s">
        <v>0</v>
      </c>
      <c r="B1" s="11" t="s">
        <v>155</v>
      </c>
      <c r="C1" s="1" t="s">
        <v>1</v>
      </c>
      <c r="D1" s="11" t="s">
        <v>2</v>
      </c>
      <c r="E1" s="11" t="s">
        <v>3</v>
      </c>
      <c r="F1" s="11" t="s">
        <v>4</v>
      </c>
      <c r="G1" s="2" t="s">
        <v>5</v>
      </c>
      <c r="H1" s="2" t="s">
        <v>146</v>
      </c>
      <c r="I1" s="2" t="s">
        <v>6</v>
      </c>
      <c r="J1" s="2" t="s">
        <v>7</v>
      </c>
      <c r="K1" s="2" t="s">
        <v>118</v>
      </c>
      <c r="L1" s="2" t="s">
        <v>119</v>
      </c>
      <c r="M1" s="2" t="s">
        <v>120</v>
      </c>
      <c r="N1" s="2" t="s">
        <v>121</v>
      </c>
      <c r="O1" s="2" t="s">
        <v>122</v>
      </c>
      <c r="P1" s="2" t="s">
        <v>123</v>
      </c>
      <c r="Q1" s="2" t="s">
        <v>124</v>
      </c>
      <c r="R1" s="2" t="s">
        <v>125</v>
      </c>
    </row>
    <row r="2" spans="1:18" ht="206.25" customHeight="1" x14ac:dyDescent="0.4">
      <c r="A2" s="4" t="s">
        <v>9</v>
      </c>
      <c r="B2" s="4" t="b">
        <v>1</v>
      </c>
      <c r="C2" s="6" t="s">
        <v>10</v>
      </c>
      <c r="D2" s="7" t="s">
        <v>114</v>
      </c>
      <c r="E2" s="7" t="s">
        <v>130</v>
      </c>
      <c r="F2" s="10" t="s">
        <v>115</v>
      </c>
      <c r="G2" s="7" t="s">
        <v>156</v>
      </c>
      <c r="H2" s="7" t="s">
        <v>159</v>
      </c>
      <c r="I2" s="7" t="s">
        <v>160</v>
      </c>
      <c r="J2" s="7"/>
      <c r="K2" s="10" t="s">
        <v>116</v>
      </c>
      <c r="L2" s="10" t="s">
        <v>117</v>
      </c>
      <c r="M2" s="10"/>
      <c r="N2" s="10"/>
      <c r="O2" s="10"/>
      <c r="P2" s="10"/>
      <c r="Q2" s="10"/>
      <c r="R2" s="10"/>
    </row>
    <row r="3" spans="1:18" ht="187.5" customHeight="1" x14ac:dyDescent="0.4">
      <c r="A3" s="4" t="s">
        <v>14</v>
      </c>
      <c r="B3" s="4" t="b">
        <v>1</v>
      </c>
      <c r="C3" s="6" t="s">
        <v>10</v>
      </c>
      <c r="D3" s="7" t="s">
        <v>128</v>
      </c>
      <c r="E3" s="7" t="s">
        <v>131</v>
      </c>
      <c r="F3" s="7" t="s">
        <v>126</v>
      </c>
      <c r="G3" s="7" t="s">
        <v>156</v>
      </c>
      <c r="H3" s="7" t="s">
        <v>161</v>
      </c>
      <c r="I3" s="7" t="s">
        <v>162</v>
      </c>
      <c r="J3" s="7" t="s">
        <v>163</v>
      </c>
      <c r="K3" s="10" t="s">
        <v>133</v>
      </c>
      <c r="L3" s="10" t="s">
        <v>134</v>
      </c>
      <c r="M3" s="6"/>
      <c r="N3" s="6"/>
      <c r="O3" s="6"/>
      <c r="P3" s="6"/>
      <c r="Q3" s="6"/>
      <c r="R3" s="6"/>
    </row>
    <row r="4" spans="1:18" ht="262.5" customHeight="1" x14ac:dyDescent="0.4">
      <c r="A4" s="4" t="s">
        <v>18</v>
      </c>
      <c r="B4" s="4" t="b">
        <v>1</v>
      </c>
      <c r="C4" s="6" t="s">
        <v>10</v>
      </c>
      <c r="D4" s="7" t="s">
        <v>129</v>
      </c>
      <c r="E4" s="7" t="s">
        <v>132</v>
      </c>
      <c r="F4" s="7" t="s">
        <v>127</v>
      </c>
      <c r="G4" s="7" t="s">
        <v>156</v>
      </c>
      <c r="H4" s="7" t="s">
        <v>164</v>
      </c>
      <c r="I4" s="7" t="s">
        <v>165</v>
      </c>
      <c r="J4" s="7" t="s">
        <v>166</v>
      </c>
      <c r="K4" s="10" t="s">
        <v>157</v>
      </c>
      <c r="L4" s="10" t="s">
        <v>158</v>
      </c>
      <c r="M4" s="6"/>
      <c r="N4" s="6"/>
      <c r="O4" s="6"/>
      <c r="P4" s="6"/>
      <c r="Q4" s="6"/>
      <c r="R4" s="6"/>
    </row>
    <row r="5" spans="1:18" ht="220.5" customHeight="1" x14ac:dyDescent="0.4">
      <c r="A5" s="7" t="s">
        <v>22</v>
      </c>
      <c r="B5" s="4" t="b">
        <v>0</v>
      </c>
      <c r="C5" s="7" t="s">
        <v>10</v>
      </c>
      <c r="D5" s="7" t="s">
        <v>135</v>
      </c>
      <c r="E5" s="7" t="s">
        <v>24</v>
      </c>
      <c r="F5" s="6" t="str">
        <f>"C:\Users\goyos\OneDrive\ドキュメント\VSCode_Dev\PythonDev\ic-test-ai-agent\SampleData\"&amp;A5</f>
        <v>C:\Users\goyos\OneDrive\ドキュメント\VSCode_Dev\PythonDev\ic-test-ai-agent\SampleData\CLC-04</v>
      </c>
      <c r="G5" s="6"/>
      <c r="H5" s="6"/>
      <c r="I5" s="6"/>
      <c r="J5" s="6"/>
      <c r="K5" s="10"/>
      <c r="L5" s="10"/>
      <c r="M5" s="6"/>
      <c r="N5" s="6"/>
      <c r="O5" s="6"/>
      <c r="P5" s="6"/>
      <c r="Q5" s="6"/>
      <c r="R5" s="6"/>
    </row>
    <row r="6" spans="1:18" ht="150" x14ac:dyDescent="0.4">
      <c r="A6" s="7" t="s">
        <v>26</v>
      </c>
      <c r="B6" s="4" t="b">
        <v>0</v>
      </c>
      <c r="C6" s="7" t="s">
        <v>10</v>
      </c>
      <c r="D6" s="7" t="s">
        <v>136</v>
      </c>
      <c r="E6" s="7" t="s">
        <v>28</v>
      </c>
      <c r="F6" s="6" t="str">
        <f t="shared" ref="F6" si="0">"C:\Users\goyos\OneDrive\ドキュメント\VSCode_Dev\PythonDev\ic-test-ai-agent\SampleData\"&amp;A6</f>
        <v>C:\Users\goyos\OneDrive\ドキュメント\VSCode_Dev\PythonDev\ic-test-ai-agent\SampleData\CLC-05</v>
      </c>
      <c r="G6" s="6"/>
      <c r="H6" s="6"/>
      <c r="I6" s="6"/>
      <c r="J6" s="6"/>
      <c r="K6" s="10"/>
      <c r="L6" s="10"/>
      <c r="M6" s="6"/>
      <c r="N6" s="6"/>
      <c r="O6" s="6"/>
      <c r="P6" s="6"/>
      <c r="Q6" s="6"/>
      <c r="R6" s="6"/>
    </row>
    <row r="7" spans="1:18" x14ac:dyDescent="0.4">
      <c r="A7" s="7"/>
      <c r="B7" s="7"/>
      <c r="C7" s="13"/>
      <c r="D7" s="7"/>
      <c r="E7" s="7"/>
      <c r="F7" s="6"/>
      <c r="G7" s="6"/>
      <c r="H7" s="6"/>
      <c r="I7" s="6"/>
      <c r="J7" s="6"/>
      <c r="K7" s="10"/>
      <c r="L7" s="10"/>
      <c r="M7" s="6"/>
      <c r="N7" s="6"/>
      <c r="O7" s="6"/>
      <c r="P7" s="6"/>
      <c r="Q7" s="6"/>
      <c r="R7" s="6"/>
    </row>
    <row r="8" spans="1:18" x14ac:dyDescent="0.4">
      <c r="A8" s="7"/>
      <c r="B8" s="7"/>
      <c r="C8" s="13"/>
      <c r="D8" s="7"/>
      <c r="E8" s="7"/>
      <c r="F8" s="6"/>
      <c r="G8" s="6"/>
      <c r="H8" s="6"/>
      <c r="I8" s="6"/>
      <c r="J8" s="6"/>
      <c r="K8" s="10"/>
      <c r="L8" s="10"/>
      <c r="M8" s="6"/>
      <c r="N8" s="6"/>
      <c r="O8" s="6"/>
      <c r="P8" s="6"/>
      <c r="Q8" s="6"/>
      <c r="R8" s="6"/>
    </row>
    <row r="9" spans="1:18" x14ac:dyDescent="0.4">
      <c r="A9" s="7"/>
      <c r="B9" s="7"/>
      <c r="C9" s="13"/>
      <c r="D9" s="7"/>
      <c r="E9" s="7"/>
      <c r="F9" s="6"/>
      <c r="G9" s="6"/>
      <c r="H9" s="6"/>
      <c r="I9" s="6"/>
      <c r="J9" s="6"/>
      <c r="K9" s="10"/>
      <c r="L9" s="10"/>
      <c r="M9" s="6"/>
      <c r="N9" s="6"/>
      <c r="O9" s="6"/>
      <c r="P9" s="6"/>
      <c r="Q9" s="6"/>
      <c r="R9" s="6"/>
    </row>
    <row r="10" spans="1:18" x14ac:dyDescent="0.4">
      <c r="A10" s="7"/>
      <c r="B10" s="7"/>
      <c r="C10" s="13"/>
      <c r="D10" s="7"/>
      <c r="E10" s="7"/>
      <c r="F10" s="6"/>
      <c r="G10" s="6"/>
      <c r="H10" s="6"/>
      <c r="I10" s="6"/>
      <c r="J10" s="6"/>
      <c r="K10" s="10"/>
      <c r="L10" s="10"/>
      <c r="M10" s="10"/>
      <c r="N10" s="10"/>
      <c r="O10" s="6"/>
      <c r="P10" s="6"/>
      <c r="Q10" s="6"/>
      <c r="R10" s="6"/>
    </row>
    <row r="11" spans="1:18" x14ac:dyDescent="0.4">
      <c r="A11" s="7"/>
      <c r="B11" s="7"/>
      <c r="C11" s="13"/>
      <c r="D11" s="7"/>
      <c r="E11" s="7"/>
      <c r="F11" s="6"/>
      <c r="G11" s="6"/>
      <c r="H11" s="6"/>
      <c r="I11" s="6"/>
      <c r="J11" s="6"/>
      <c r="K11" s="10"/>
      <c r="L11" s="10"/>
      <c r="M11" s="6"/>
      <c r="N11" s="6"/>
      <c r="O11" s="6"/>
      <c r="P11" s="6"/>
      <c r="Q11" s="6"/>
      <c r="R11" s="6"/>
    </row>
    <row r="12" spans="1:18" x14ac:dyDescent="0.4">
      <c r="A12" s="7"/>
      <c r="B12" s="7"/>
      <c r="C12" s="13"/>
      <c r="D12" s="7"/>
      <c r="E12" s="7"/>
      <c r="F12" s="6"/>
      <c r="G12" s="6"/>
      <c r="H12" s="6"/>
      <c r="I12" s="6"/>
      <c r="J12" s="6"/>
      <c r="K12" s="10"/>
      <c r="L12" s="10"/>
      <c r="M12" s="6"/>
      <c r="N12" s="6"/>
      <c r="O12" s="6"/>
      <c r="P12" s="6"/>
      <c r="Q12" s="6"/>
      <c r="R12" s="6"/>
    </row>
    <row r="13" spans="1:18" x14ac:dyDescent="0.4">
      <c r="A13" s="7"/>
      <c r="B13" s="7"/>
      <c r="C13" s="13"/>
      <c r="D13" s="7"/>
      <c r="E13" s="7"/>
      <c r="F13" s="6"/>
      <c r="G13" s="6"/>
      <c r="H13" s="6"/>
      <c r="I13" s="6"/>
      <c r="J13" s="6"/>
      <c r="K13" s="6"/>
      <c r="L13" s="6"/>
      <c r="M13" s="6"/>
      <c r="N13" s="6"/>
      <c r="O13" s="6"/>
      <c r="P13" s="6"/>
      <c r="Q13" s="6"/>
      <c r="R13" s="6"/>
    </row>
    <row r="14" spans="1:18" x14ac:dyDescent="0.4">
      <c r="A14" s="7"/>
      <c r="B14" s="7"/>
      <c r="C14" s="13"/>
      <c r="D14" s="7"/>
      <c r="E14" s="7"/>
      <c r="F14" s="6"/>
      <c r="G14" s="6"/>
      <c r="H14" s="6"/>
      <c r="I14" s="6"/>
      <c r="J14" s="6"/>
      <c r="K14" s="6"/>
      <c r="L14" s="6"/>
      <c r="M14" s="6"/>
      <c r="N14" s="6"/>
      <c r="O14" s="6"/>
      <c r="P14" s="6"/>
      <c r="Q14" s="6"/>
      <c r="R14" s="6"/>
    </row>
    <row r="15" spans="1:18" x14ac:dyDescent="0.4">
      <c r="A15" s="7"/>
      <c r="B15" s="7"/>
      <c r="C15" s="13"/>
      <c r="D15" s="7"/>
      <c r="E15" s="7"/>
      <c r="F15" s="6"/>
      <c r="G15" s="6"/>
      <c r="H15" s="6"/>
      <c r="I15" s="6"/>
      <c r="J15" s="6"/>
      <c r="K15" s="6"/>
      <c r="L15" s="6"/>
      <c r="M15" s="6"/>
      <c r="N15" s="6"/>
      <c r="O15" s="6"/>
      <c r="P15" s="6"/>
      <c r="Q15" s="6"/>
      <c r="R15" s="6"/>
    </row>
    <row r="16" spans="1:18" x14ac:dyDescent="0.4">
      <c r="A16" s="4"/>
      <c r="B16" s="4"/>
      <c r="C16" s="5"/>
      <c r="D16" s="4"/>
      <c r="E16" s="6"/>
      <c r="F16" s="6"/>
      <c r="G16" s="6"/>
      <c r="H16" s="6"/>
      <c r="I16" s="6"/>
      <c r="J16" s="6"/>
      <c r="K16" s="6"/>
      <c r="L16" s="6"/>
      <c r="M16" s="6"/>
      <c r="N16" s="6"/>
      <c r="O16" s="6"/>
      <c r="P16" s="6"/>
      <c r="Q16" s="6"/>
      <c r="R16" s="6"/>
    </row>
    <row r="17" spans="1:18" x14ac:dyDescent="0.4">
      <c r="A17" s="4"/>
      <c r="B17" s="4"/>
      <c r="C17" s="5"/>
      <c r="D17" s="4"/>
      <c r="E17" s="6"/>
      <c r="F17" s="6"/>
      <c r="G17" s="6"/>
      <c r="H17" s="6"/>
      <c r="I17" s="6"/>
      <c r="J17" s="6"/>
      <c r="K17" s="6"/>
      <c r="L17" s="6"/>
      <c r="M17" s="6"/>
      <c r="N17" s="6"/>
      <c r="O17" s="6"/>
      <c r="P17" s="6"/>
      <c r="Q17" s="6"/>
      <c r="R17" s="6"/>
    </row>
    <row r="18" spans="1:18" x14ac:dyDescent="0.4">
      <c r="A18" s="4"/>
      <c r="B18" s="4"/>
      <c r="C18" s="5"/>
      <c r="D18" s="4"/>
      <c r="E18" s="6"/>
      <c r="F18" s="6"/>
      <c r="G18" s="6"/>
      <c r="H18" s="6"/>
      <c r="I18" s="6"/>
      <c r="J18" s="6"/>
      <c r="K18" s="6"/>
      <c r="L18" s="6"/>
      <c r="M18" s="6"/>
      <c r="N18" s="6"/>
      <c r="O18" s="6"/>
      <c r="P18" s="6"/>
      <c r="Q18" s="6"/>
      <c r="R18" s="6"/>
    </row>
    <row r="19" spans="1:18" x14ac:dyDescent="0.4">
      <c r="A19" s="4"/>
      <c r="B19" s="4"/>
      <c r="C19" s="5"/>
      <c r="D19" s="4"/>
      <c r="E19" s="6"/>
      <c r="F19" s="6"/>
      <c r="G19" s="6"/>
      <c r="H19" s="6"/>
      <c r="I19" s="6"/>
      <c r="J19" s="6"/>
      <c r="K19" s="6"/>
      <c r="L19" s="6"/>
      <c r="M19" s="6"/>
      <c r="N19" s="6"/>
      <c r="O19" s="6"/>
      <c r="P19" s="6"/>
      <c r="Q19" s="6"/>
      <c r="R19" s="6"/>
    </row>
    <row r="20" spans="1:18" x14ac:dyDescent="0.4">
      <c r="A20" s="4"/>
      <c r="B20" s="4"/>
      <c r="C20" s="5"/>
      <c r="D20" s="4"/>
      <c r="E20" s="6"/>
      <c r="F20" s="6"/>
      <c r="G20" s="6"/>
      <c r="H20" s="6"/>
      <c r="I20" s="6"/>
      <c r="J20" s="6"/>
      <c r="K20" s="6"/>
      <c r="L20" s="6"/>
      <c r="M20" s="6"/>
      <c r="N20" s="6"/>
      <c r="O20" s="6"/>
      <c r="P20" s="6"/>
      <c r="Q20" s="6"/>
      <c r="R20" s="6"/>
    </row>
    <row r="21" spans="1:18" x14ac:dyDescent="0.4">
      <c r="A21" s="4"/>
      <c r="B21" s="4"/>
      <c r="C21" s="5"/>
      <c r="D21" s="4"/>
      <c r="E21" s="6"/>
      <c r="F21" s="6"/>
      <c r="G21" s="6"/>
      <c r="H21" s="6"/>
      <c r="I21" s="6"/>
      <c r="J21" s="6"/>
      <c r="K21" s="6"/>
      <c r="L21" s="6"/>
      <c r="M21" s="6"/>
      <c r="N21" s="6"/>
      <c r="O21" s="6"/>
      <c r="P21" s="6"/>
      <c r="Q21" s="6"/>
      <c r="R21" s="6"/>
    </row>
    <row r="22" spans="1:18" x14ac:dyDescent="0.4">
      <c r="A22" s="4"/>
      <c r="B22" s="4"/>
      <c r="C22" s="13"/>
      <c r="D22" s="4"/>
      <c r="E22" s="6"/>
      <c r="F22" s="6"/>
      <c r="G22" s="6"/>
      <c r="H22" s="6"/>
      <c r="I22" s="6"/>
      <c r="J22" s="6"/>
      <c r="K22" s="6"/>
      <c r="L22" s="6"/>
      <c r="M22" s="6"/>
      <c r="N22" s="6"/>
      <c r="O22" s="6"/>
      <c r="P22" s="6"/>
      <c r="Q22" s="6"/>
      <c r="R22" s="6"/>
    </row>
    <row r="23" spans="1:18" x14ac:dyDescent="0.4">
      <c r="A23" s="4"/>
      <c r="B23" s="4"/>
      <c r="C23" s="13"/>
      <c r="D23" s="4"/>
      <c r="E23" s="6"/>
      <c r="F23" s="6"/>
      <c r="G23" s="6"/>
      <c r="H23" s="6"/>
      <c r="I23" s="6"/>
      <c r="J23" s="6"/>
      <c r="K23" s="6"/>
      <c r="L23" s="6"/>
      <c r="M23" s="6"/>
      <c r="N23" s="6"/>
      <c r="O23" s="6"/>
      <c r="P23" s="6"/>
      <c r="Q23" s="6"/>
      <c r="R23" s="6"/>
    </row>
    <row r="24" spans="1:18" x14ac:dyDescent="0.4">
      <c r="A24" s="4"/>
      <c r="B24" s="4"/>
      <c r="C24" s="13"/>
      <c r="D24" s="4"/>
      <c r="E24" s="6"/>
      <c r="F24" s="6"/>
      <c r="G24" s="6"/>
      <c r="H24" s="6"/>
      <c r="I24" s="6"/>
      <c r="J24" s="6"/>
      <c r="K24" s="6"/>
      <c r="L24" s="6"/>
      <c r="M24" s="6"/>
      <c r="N24" s="6"/>
      <c r="O24" s="6"/>
      <c r="P24" s="6"/>
      <c r="Q24" s="6"/>
      <c r="R24" s="6"/>
    </row>
    <row r="25" spans="1:18" x14ac:dyDescent="0.4">
      <c r="A25" s="4"/>
      <c r="B25" s="4"/>
      <c r="C25" s="13"/>
      <c r="D25" s="4"/>
      <c r="E25" s="6"/>
      <c r="F25" s="6"/>
      <c r="G25" s="6"/>
      <c r="H25" s="6"/>
      <c r="I25" s="6"/>
      <c r="J25" s="6"/>
      <c r="K25" s="6"/>
      <c r="L25" s="6"/>
      <c r="M25" s="6"/>
      <c r="N25" s="6"/>
      <c r="O25" s="6"/>
      <c r="P25" s="6"/>
      <c r="Q25" s="6"/>
      <c r="R25" s="6"/>
    </row>
    <row r="26" spans="1:18" x14ac:dyDescent="0.4">
      <c r="A26" s="4"/>
      <c r="B26" s="4"/>
      <c r="C26" s="13"/>
      <c r="D26" s="4"/>
      <c r="E26" s="6"/>
      <c r="F26" s="6"/>
      <c r="G26" s="6"/>
      <c r="H26" s="6"/>
      <c r="I26" s="6"/>
      <c r="J26" s="6"/>
      <c r="K26" s="6"/>
      <c r="L26" s="6"/>
      <c r="M26" s="6"/>
      <c r="N26" s="6"/>
      <c r="O26" s="6"/>
      <c r="P26" s="6"/>
      <c r="Q26" s="6"/>
      <c r="R26" s="6"/>
    </row>
    <row r="27" spans="1:18" x14ac:dyDescent="0.4">
      <c r="A27" s="4"/>
      <c r="B27" s="4"/>
      <c r="C27" s="13"/>
      <c r="D27" s="4"/>
      <c r="E27" s="6"/>
      <c r="F27" s="6"/>
      <c r="G27" s="6"/>
      <c r="H27" s="6"/>
      <c r="I27" s="6"/>
      <c r="J27" s="6"/>
      <c r="K27" s="6"/>
      <c r="L27" s="6"/>
      <c r="M27" s="6"/>
      <c r="N27" s="6"/>
      <c r="O27" s="6"/>
      <c r="P27" s="6"/>
      <c r="Q27" s="6"/>
      <c r="R27" s="6"/>
    </row>
    <row r="28" spans="1:18" x14ac:dyDescent="0.4">
      <c r="A28" s="4"/>
      <c r="B28" s="4"/>
      <c r="C28" s="13"/>
      <c r="D28" s="4"/>
      <c r="E28" s="6"/>
      <c r="F28" s="6"/>
      <c r="G28" s="6"/>
      <c r="H28" s="6"/>
      <c r="I28" s="6"/>
      <c r="J28" s="6"/>
      <c r="K28" s="6"/>
      <c r="L28" s="6"/>
      <c r="M28" s="6"/>
      <c r="N28" s="6"/>
      <c r="O28" s="6"/>
      <c r="P28" s="6"/>
      <c r="Q28" s="6"/>
      <c r="R28" s="6"/>
    </row>
    <row r="29" spans="1:18" x14ac:dyDescent="0.4">
      <c r="A29" s="4"/>
      <c r="B29" s="4"/>
      <c r="C29" s="13"/>
      <c r="D29" s="4"/>
      <c r="E29" s="6"/>
      <c r="F29" s="6"/>
      <c r="G29" s="6"/>
      <c r="H29" s="6"/>
      <c r="I29" s="6"/>
      <c r="J29" s="6"/>
      <c r="K29" s="6"/>
      <c r="L29" s="6"/>
      <c r="M29" s="6"/>
      <c r="N29" s="6"/>
      <c r="O29" s="6"/>
      <c r="P29" s="6"/>
      <c r="Q29" s="6"/>
      <c r="R29" s="6"/>
    </row>
    <row r="30" spans="1:18" x14ac:dyDescent="0.4">
      <c r="A30" s="4"/>
      <c r="B30" s="4"/>
      <c r="C30" s="13"/>
      <c r="D30" s="4"/>
      <c r="E30" s="6"/>
      <c r="F30" s="6"/>
      <c r="G30" s="6"/>
      <c r="H30" s="6"/>
      <c r="I30" s="6"/>
      <c r="J30" s="6"/>
      <c r="K30" s="6"/>
      <c r="L30" s="6"/>
      <c r="M30" s="6"/>
      <c r="N30" s="6"/>
      <c r="O30" s="6"/>
      <c r="P30" s="6"/>
      <c r="Q30" s="6"/>
      <c r="R30" s="6"/>
    </row>
    <row r="31" spans="1:18" x14ac:dyDescent="0.4">
      <c r="A31" s="4"/>
      <c r="B31" s="4"/>
      <c r="C31" s="13"/>
      <c r="D31" s="4"/>
      <c r="E31" s="6"/>
      <c r="F31" s="6"/>
      <c r="G31" s="6"/>
      <c r="H31" s="6"/>
      <c r="I31" s="6"/>
      <c r="J31" s="6"/>
      <c r="K31" s="6"/>
      <c r="L31" s="6"/>
      <c r="M31" s="6"/>
      <c r="N31" s="6"/>
      <c r="O31" s="6"/>
      <c r="P31" s="6"/>
      <c r="Q31" s="6"/>
      <c r="R31" s="6"/>
    </row>
  </sheetData>
  <autoFilter ref="A1:R31" xr:uid="{00000000-0001-0000-0000-000000000000}"/>
  <phoneticPr fontId="1"/>
  <hyperlinks>
    <hyperlink ref="F2" r:id="rId1" xr:uid="{F2D1E2A2-8B81-4E28-9FCA-74B5B0E3EC70}"/>
    <hyperlink ref="K2" r:id="rId2" xr:uid="{2D4C4E02-17B3-45DE-8573-2F5F8813F3B9}"/>
    <hyperlink ref="L2" r:id="rId3" xr:uid="{3F732BA3-9818-415B-BFF6-6F6B77EE95B4}"/>
    <hyperlink ref="K3" r:id="rId4" xr:uid="{64BA6F65-B6D8-4C44-B615-44FEBB1E2B72}"/>
    <hyperlink ref="L3" r:id="rId5" xr:uid="{B8FF4F84-2626-49F0-ACD4-1E4B1F23FC62}"/>
    <hyperlink ref="K4" r:id="rId6" xr:uid="{6CCC2DE1-204A-40F6-8F8A-CE42CA6C18C4}"/>
    <hyperlink ref="L4" r:id="rId7" xr:uid="{2B50CEFE-B0B2-4C60-BE07-4A8840930E6E}"/>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1027" r:id="rId10" name="Button 3">
              <controlPr defaultSize="0" print="0" autoFill="0" autoPict="0" macro="[0]!ThisWorkbook.ProcessWithApi">
                <anchor moveWithCells="1" sizeWithCells="1">
                  <from>
                    <xdr:col>6</xdr:col>
                    <xdr:colOff>123825</xdr:colOff>
                    <xdr:row>0</xdr:row>
                    <xdr:rowOff>276225</xdr:rowOff>
                  </from>
                  <to>
                    <xdr:col>6</xdr:col>
                    <xdr:colOff>628650</xdr:colOff>
                    <xdr:row>0</xdr:row>
                    <xdr:rowOff>476250</xdr:rowOff>
                  </to>
                </anchor>
              </controlPr>
            </control>
          </mc:Choice>
        </mc:AlternateContent>
        <mc:AlternateContent xmlns:mc="http://schemas.openxmlformats.org/markup-compatibility/2006">
          <mc:Choice Requires="x14">
            <control shapeId="1028" r:id="rId11" name="Button 4">
              <controlPr defaultSize="0" print="0" autoFill="0" autoPict="0" macro="[0]!ThisWorkbook.ClearEvaluationResults">
                <anchor moveWithCells="1" sizeWithCells="1">
                  <from>
                    <xdr:col>7</xdr:col>
                    <xdr:colOff>57150</xdr:colOff>
                    <xdr:row>0</xdr:row>
                    <xdr:rowOff>266700</xdr:rowOff>
                  </from>
                  <to>
                    <xdr:col>7</xdr:col>
                    <xdr:colOff>590550</xdr:colOff>
                    <xdr:row>0</xdr:row>
                    <xdr:rowOff>485775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7E661-245A-4883-B829-A686715C50D9}">
  <sheetPr codeName="Sheet3"/>
  <dimension ref="A1:Q31"/>
  <sheetViews>
    <sheetView zoomScale="90" zoomScaleNormal="90" workbookViewId="0">
      <pane xSplit="5" ySplit="1" topLeftCell="XEJ4" activePane="bottomRight" state="frozen"/>
      <selection pane="topRight" activeCell="F1" sqref="F1"/>
      <selection pane="bottomLeft" activeCell="A2" sqref="A2"/>
      <selection pane="bottomRight" activeCell="XFD4" sqref="XFD4"/>
    </sheetView>
  </sheetViews>
  <sheetFormatPr defaultRowHeight="18.75" x14ac:dyDescent="0.4"/>
  <cols>
    <col min="1" max="1" width="9.75" style="9" customWidth="1"/>
    <col min="2" max="2" width="8.5" style="9" customWidth="1"/>
    <col min="3" max="3" width="18" style="9" customWidth="1"/>
    <col min="4" max="4" width="12.75" style="9" customWidth="1"/>
    <col min="5" max="5" width="13.375" style="9" customWidth="1"/>
    <col min="6" max="6" width="9.25" style="9" bestFit="1" customWidth="1"/>
    <col min="7" max="7" width="40" style="9" customWidth="1"/>
    <col min="8" max="9" width="93.875" style="9" customWidth="1"/>
    <col min="10" max="17" width="17" style="9" customWidth="1"/>
    <col min="18" max="16384" width="9" style="12"/>
  </cols>
  <sheetData>
    <row r="1" spans="1:17" ht="42.75" customHeight="1" x14ac:dyDescent="0.4">
      <c r="A1" s="11" t="s">
        <v>0</v>
      </c>
      <c r="B1" s="11" t="s">
        <v>1</v>
      </c>
      <c r="C1" s="11" t="s">
        <v>2</v>
      </c>
      <c r="D1" s="11" t="s">
        <v>3</v>
      </c>
      <c r="E1" s="11" t="s">
        <v>4</v>
      </c>
      <c r="F1" s="2" t="s">
        <v>5</v>
      </c>
      <c r="G1" s="2" t="s">
        <v>146</v>
      </c>
      <c r="H1" s="2" t="s">
        <v>6</v>
      </c>
      <c r="I1" s="2" t="s">
        <v>7</v>
      </c>
      <c r="J1" s="2" t="s">
        <v>118</v>
      </c>
      <c r="K1" s="2" t="s">
        <v>119</v>
      </c>
      <c r="L1" s="2" t="s">
        <v>120</v>
      </c>
      <c r="M1" s="2" t="s">
        <v>121</v>
      </c>
      <c r="N1" s="2" t="s">
        <v>122</v>
      </c>
      <c r="O1" s="2" t="s">
        <v>123</v>
      </c>
      <c r="P1" s="2" t="s">
        <v>124</v>
      </c>
      <c r="Q1" s="2" t="s">
        <v>125</v>
      </c>
    </row>
    <row r="2" spans="1:17" ht="409.5" customHeight="1" x14ac:dyDescent="0.4">
      <c r="A2" s="4" t="s">
        <v>9</v>
      </c>
      <c r="B2" s="5" t="s">
        <v>10</v>
      </c>
      <c r="C2" s="7" t="s">
        <v>114</v>
      </c>
      <c r="D2" s="7" t="s">
        <v>130</v>
      </c>
      <c r="E2" s="7" t="s">
        <v>115</v>
      </c>
      <c r="F2" s="7" t="s">
        <v>113</v>
      </c>
      <c r="G2" s="7" t="s">
        <v>147</v>
      </c>
      <c r="H2" s="7" t="s">
        <v>148</v>
      </c>
      <c r="I2" s="7" t="s">
        <v>149</v>
      </c>
      <c r="J2" s="10" t="s">
        <v>116</v>
      </c>
      <c r="K2" s="10" t="s">
        <v>117</v>
      </c>
      <c r="L2" s="10"/>
      <c r="M2" s="10"/>
      <c r="N2" s="10"/>
      <c r="O2" s="10"/>
      <c r="P2" s="10"/>
      <c r="Q2" s="10"/>
    </row>
    <row r="3" spans="1:17" ht="409.5" customHeight="1" x14ac:dyDescent="0.4">
      <c r="A3" s="4" t="s">
        <v>14</v>
      </c>
      <c r="B3" s="5" t="s">
        <v>10</v>
      </c>
      <c r="C3" s="7" t="s">
        <v>128</v>
      </c>
      <c r="D3" s="7" t="s">
        <v>131</v>
      </c>
      <c r="E3" s="7" t="s">
        <v>126</v>
      </c>
      <c r="F3" s="7" t="s">
        <v>113</v>
      </c>
      <c r="G3" s="7" t="s">
        <v>150</v>
      </c>
      <c r="H3" s="7" t="s">
        <v>151</v>
      </c>
      <c r="I3" s="7" t="s">
        <v>152</v>
      </c>
      <c r="J3" s="10" t="s">
        <v>133</v>
      </c>
      <c r="K3" s="10" t="s">
        <v>134</v>
      </c>
      <c r="L3" s="6"/>
      <c r="M3" s="6"/>
      <c r="N3" s="6"/>
      <c r="O3" s="6"/>
      <c r="P3" s="6"/>
      <c r="Q3" s="6"/>
    </row>
    <row r="4" spans="1:17" ht="409.5" customHeight="1" x14ac:dyDescent="0.4">
      <c r="A4" s="4" t="s">
        <v>18</v>
      </c>
      <c r="B4" s="5" t="s">
        <v>10</v>
      </c>
      <c r="C4" s="7" t="s">
        <v>129</v>
      </c>
      <c r="D4" s="7" t="s">
        <v>132</v>
      </c>
      <c r="E4" s="7" t="s">
        <v>127</v>
      </c>
      <c r="F4" s="7"/>
      <c r="G4" s="7"/>
      <c r="H4" s="7"/>
      <c r="I4" s="7"/>
      <c r="J4" s="10"/>
      <c r="K4" s="10"/>
      <c r="L4" s="6"/>
      <c r="M4" s="6"/>
      <c r="N4" s="6"/>
      <c r="O4" s="6"/>
      <c r="P4" s="6"/>
      <c r="Q4" s="6"/>
    </row>
    <row r="5" spans="1:17" ht="150" x14ac:dyDescent="0.4">
      <c r="A5" s="7" t="s">
        <v>22</v>
      </c>
      <c r="B5" s="7" t="s">
        <v>10</v>
      </c>
      <c r="C5" s="7" t="s">
        <v>135</v>
      </c>
      <c r="D5" s="7" t="s">
        <v>24</v>
      </c>
      <c r="E5" s="6" t="str">
        <f>"C:\Users\goyos\OneDrive\ドキュメント\VSCode_Dev\PythonDev\ic-test-ai-agent\SampleData\"&amp;A5</f>
        <v>C:\Users\goyos\OneDrive\ドキュメント\VSCode_Dev\PythonDev\ic-test-ai-agent\SampleData\CLC-04</v>
      </c>
      <c r="F5" s="6"/>
      <c r="G5" s="6"/>
      <c r="H5" s="6"/>
      <c r="I5" s="6"/>
      <c r="J5" s="10"/>
      <c r="K5" s="10"/>
      <c r="L5" s="6"/>
      <c r="M5" s="6"/>
      <c r="N5" s="6"/>
      <c r="O5" s="6"/>
      <c r="P5" s="6"/>
      <c r="Q5" s="6"/>
    </row>
    <row r="6" spans="1:17" ht="168.75" x14ac:dyDescent="0.4">
      <c r="A6" s="7" t="s">
        <v>26</v>
      </c>
      <c r="B6" s="7" t="s">
        <v>10</v>
      </c>
      <c r="C6" s="7" t="s">
        <v>136</v>
      </c>
      <c r="D6" s="7" t="s">
        <v>28</v>
      </c>
      <c r="E6" s="6" t="str">
        <f t="shared" ref="E6:E15" si="0">"C:\Users\goyos\OneDrive\ドキュメント\VSCode_Dev\PythonDev\ic-test-ai-agent\SampleData\"&amp;A6</f>
        <v>C:\Users\goyos\OneDrive\ドキュメント\VSCode_Dev\PythonDev\ic-test-ai-agent\SampleData\CLC-05</v>
      </c>
      <c r="F6" s="6"/>
      <c r="G6" s="6"/>
      <c r="H6" s="6"/>
      <c r="I6" s="6"/>
      <c r="J6" s="10"/>
      <c r="K6" s="10"/>
      <c r="L6" s="6"/>
      <c r="M6" s="6"/>
      <c r="N6" s="6"/>
      <c r="O6" s="6"/>
      <c r="P6" s="6"/>
      <c r="Q6" s="6"/>
    </row>
    <row r="7" spans="1:17" ht="187.5" x14ac:dyDescent="0.4">
      <c r="A7" s="7" t="s">
        <v>30</v>
      </c>
      <c r="B7" s="7" t="s">
        <v>31</v>
      </c>
      <c r="C7" s="7" t="s">
        <v>137</v>
      </c>
      <c r="D7" s="7" t="s">
        <v>33</v>
      </c>
      <c r="E7" s="6" t="str">
        <f t="shared" si="0"/>
        <v>C:\Users\goyos\OneDrive\ドキュメント\VSCode_Dev\PythonDev\ic-test-ai-agent\SampleData\PLC-01</v>
      </c>
      <c r="F7" s="6"/>
      <c r="G7" s="6"/>
      <c r="H7" s="6"/>
      <c r="I7" s="6"/>
      <c r="J7" s="10"/>
      <c r="K7" s="10"/>
      <c r="L7" s="6"/>
      <c r="M7" s="6"/>
      <c r="N7" s="6"/>
      <c r="O7" s="6"/>
      <c r="P7" s="6"/>
      <c r="Q7" s="6"/>
    </row>
    <row r="8" spans="1:17" ht="187.5" x14ac:dyDescent="0.4">
      <c r="A8" s="7" t="s">
        <v>35</v>
      </c>
      <c r="B8" s="7" t="s">
        <v>31</v>
      </c>
      <c r="C8" s="7" t="s">
        <v>138</v>
      </c>
      <c r="D8" s="7" t="s">
        <v>37</v>
      </c>
      <c r="E8" s="6" t="str">
        <f t="shared" si="0"/>
        <v>C:\Users\goyos\OneDrive\ドキュメント\VSCode_Dev\PythonDev\ic-test-ai-agent\SampleData\PLC-02</v>
      </c>
      <c r="F8" s="6"/>
      <c r="G8" s="6"/>
      <c r="H8" s="6"/>
      <c r="I8" s="6"/>
      <c r="J8" s="10"/>
      <c r="K8" s="10"/>
      <c r="L8" s="6"/>
      <c r="M8" s="6"/>
      <c r="N8" s="6"/>
      <c r="O8" s="6"/>
      <c r="P8" s="6"/>
      <c r="Q8" s="6"/>
    </row>
    <row r="9" spans="1:17" ht="168.75" x14ac:dyDescent="0.4">
      <c r="A9" s="7" t="s">
        <v>39</v>
      </c>
      <c r="B9" s="7" t="s">
        <v>31</v>
      </c>
      <c r="C9" s="7" t="s">
        <v>139</v>
      </c>
      <c r="D9" s="7" t="s">
        <v>41</v>
      </c>
      <c r="E9" s="6" t="str">
        <f t="shared" si="0"/>
        <v>C:\Users\goyos\OneDrive\ドキュメント\VSCode_Dev\PythonDev\ic-test-ai-agent\SampleData\PLC-03</v>
      </c>
      <c r="F9" s="6"/>
      <c r="G9" s="6"/>
      <c r="H9" s="6"/>
      <c r="I9" s="6"/>
      <c r="J9" s="10"/>
      <c r="K9" s="10"/>
      <c r="L9" s="6"/>
      <c r="M9" s="6"/>
      <c r="N9" s="6"/>
      <c r="O9" s="6"/>
      <c r="P9" s="6"/>
      <c r="Q9" s="6"/>
    </row>
    <row r="10" spans="1:17" ht="150" x14ac:dyDescent="0.4">
      <c r="A10" s="7" t="s">
        <v>43</v>
      </c>
      <c r="B10" s="7" t="s">
        <v>31</v>
      </c>
      <c r="C10" s="7" t="s">
        <v>140</v>
      </c>
      <c r="D10" s="7" t="s">
        <v>45</v>
      </c>
      <c r="E10" s="6" t="str">
        <f t="shared" si="0"/>
        <v>C:\Users\goyos\OneDrive\ドキュメント\VSCode_Dev\PythonDev\ic-test-ai-agent\SampleData\PLC-04</v>
      </c>
      <c r="F10" s="6"/>
      <c r="G10" s="6"/>
      <c r="H10" s="6"/>
      <c r="I10" s="6"/>
      <c r="J10" s="10"/>
      <c r="K10" s="10"/>
      <c r="L10" s="10" t="s">
        <v>153</v>
      </c>
      <c r="M10" s="10" t="s">
        <v>154</v>
      </c>
      <c r="N10" s="6"/>
      <c r="O10" s="6"/>
      <c r="P10" s="6"/>
      <c r="Q10" s="6"/>
    </row>
    <row r="11" spans="1:17" ht="168.75" x14ac:dyDescent="0.4">
      <c r="A11" s="7" t="s">
        <v>47</v>
      </c>
      <c r="B11" s="7" t="s">
        <v>31</v>
      </c>
      <c r="C11" s="7" t="s">
        <v>141</v>
      </c>
      <c r="D11" s="7" t="s">
        <v>49</v>
      </c>
      <c r="E11" s="6" t="str">
        <f t="shared" si="0"/>
        <v>C:\Users\goyos\OneDrive\ドキュメント\VSCode_Dev\PythonDev\ic-test-ai-agent\SampleData\PLC-05</v>
      </c>
      <c r="F11" s="6"/>
      <c r="G11" s="6"/>
      <c r="H11" s="6"/>
      <c r="I11" s="6"/>
      <c r="J11" s="10"/>
      <c r="K11" s="10"/>
      <c r="L11" s="6"/>
      <c r="M11" s="6"/>
      <c r="N11" s="6"/>
      <c r="O11" s="6"/>
      <c r="P11" s="6"/>
      <c r="Q11" s="6"/>
    </row>
    <row r="12" spans="1:17" ht="168.75" x14ac:dyDescent="0.4">
      <c r="A12" s="7" t="s">
        <v>51</v>
      </c>
      <c r="B12" s="7" t="s">
        <v>31</v>
      </c>
      <c r="C12" s="7" t="s">
        <v>142</v>
      </c>
      <c r="D12" s="7" t="s">
        <v>53</v>
      </c>
      <c r="E12" s="6" t="str">
        <f t="shared" si="0"/>
        <v>C:\Users\goyos\OneDrive\ドキュメント\VSCode_Dev\PythonDev\ic-test-ai-agent\SampleData\PLC-06</v>
      </c>
      <c r="F12" s="6"/>
      <c r="G12" s="6"/>
      <c r="H12" s="6"/>
      <c r="I12" s="6"/>
      <c r="J12" s="10"/>
      <c r="K12" s="10"/>
      <c r="L12" s="6"/>
      <c r="M12" s="6"/>
      <c r="N12" s="6"/>
      <c r="O12" s="6"/>
      <c r="P12" s="6"/>
      <c r="Q12" s="6"/>
    </row>
    <row r="13" spans="1:17" ht="150" x14ac:dyDescent="0.4">
      <c r="A13" s="7" t="s">
        <v>55</v>
      </c>
      <c r="B13" s="7" t="s">
        <v>31</v>
      </c>
      <c r="C13" s="7" t="s">
        <v>143</v>
      </c>
      <c r="D13" s="7" t="s">
        <v>57</v>
      </c>
      <c r="E13" s="6" t="str">
        <f t="shared" si="0"/>
        <v>C:\Users\goyos\OneDrive\ドキュメント\VSCode_Dev\PythonDev\ic-test-ai-agent\SampleData\PLC-07</v>
      </c>
      <c r="F13" s="6"/>
      <c r="G13" s="6"/>
      <c r="H13" s="6"/>
      <c r="I13" s="6"/>
      <c r="J13" s="6"/>
      <c r="K13" s="6"/>
      <c r="L13" s="6"/>
      <c r="M13" s="6"/>
      <c r="N13" s="6"/>
      <c r="O13" s="6"/>
      <c r="P13" s="6"/>
      <c r="Q13" s="6"/>
    </row>
    <row r="14" spans="1:17" ht="187.5" x14ac:dyDescent="0.4">
      <c r="A14" s="7" t="s">
        <v>58</v>
      </c>
      <c r="B14" s="7" t="s">
        <v>31</v>
      </c>
      <c r="C14" s="7" t="s">
        <v>144</v>
      </c>
      <c r="D14" s="7" t="s">
        <v>60</v>
      </c>
      <c r="E14" s="6" t="str">
        <f t="shared" si="0"/>
        <v>C:\Users\goyos\OneDrive\ドキュメント\VSCode_Dev\PythonDev\ic-test-ai-agent\SampleData\PLC-08</v>
      </c>
      <c r="F14" s="6"/>
      <c r="G14" s="6"/>
      <c r="H14" s="6"/>
      <c r="I14" s="6"/>
      <c r="J14" s="6"/>
      <c r="K14" s="6"/>
      <c r="L14" s="6"/>
      <c r="M14" s="6"/>
      <c r="N14" s="6"/>
      <c r="O14" s="6"/>
      <c r="P14" s="6"/>
      <c r="Q14" s="6"/>
    </row>
    <row r="15" spans="1:17" ht="168.75" x14ac:dyDescent="0.4">
      <c r="A15" s="7" t="s">
        <v>61</v>
      </c>
      <c r="B15" s="7" t="s">
        <v>31</v>
      </c>
      <c r="C15" s="7" t="s">
        <v>145</v>
      </c>
      <c r="D15" s="7" t="s">
        <v>63</v>
      </c>
      <c r="E15" s="6" t="str">
        <f t="shared" si="0"/>
        <v>C:\Users\goyos\OneDrive\ドキュメント\VSCode_Dev\PythonDev\ic-test-ai-agent\SampleData\PLC-09</v>
      </c>
      <c r="F15" s="6"/>
      <c r="G15" s="6"/>
      <c r="H15" s="6"/>
      <c r="I15" s="6"/>
      <c r="J15" s="6"/>
      <c r="K15" s="6"/>
      <c r="L15" s="6"/>
      <c r="M15" s="6"/>
      <c r="N15" s="6"/>
      <c r="O15" s="6"/>
      <c r="P15" s="6"/>
      <c r="Q15" s="6"/>
    </row>
    <row r="16" spans="1:17" x14ac:dyDescent="0.4">
      <c r="A16" s="4"/>
      <c r="B16" s="6"/>
      <c r="C16" s="4"/>
      <c r="D16" s="6"/>
      <c r="E16" s="6"/>
      <c r="F16" s="6"/>
      <c r="G16" s="6"/>
      <c r="H16" s="6"/>
      <c r="I16" s="6"/>
      <c r="J16" s="6"/>
      <c r="K16" s="6"/>
      <c r="L16" s="6"/>
      <c r="M16" s="6"/>
      <c r="N16" s="6"/>
      <c r="O16" s="6"/>
      <c r="P16" s="6"/>
      <c r="Q16" s="6"/>
    </row>
    <row r="17" spans="1:17" x14ac:dyDescent="0.4">
      <c r="A17" s="4"/>
      <c r="B17" s="6"/>
      <c r="C17" s="4"/>
      <c r="D17" s="6"/>
      <c r="E17" s="6"/>
      <c r="F17" s="6"/>
      <c r="G17" s="6"/>
      <c r="H17" s="6"/>
      <c r="I17" s="6"/>
      <c r="J17" s="6"/>
      <c r="K17" s="6"/>
      <c r="L17" s="6"/>
      <c r="M17" s="6"/>
      <c r="N17" s="6"/>
      <c r="O17" s="6"/>
      <c r="P17" s="6"/>
      <c r="Q17" s="6"/>
    </row>
    <row r="18" spans="1:17" x14ac:dyDescent="0.4">
      <c r="A18" s="4"/>
      <c r="B18" s="6"/>
      <c r="C18" s="4"/>
      <c r="D18" s="6"/>
      <c r="E18" s="6"/>
      <c r="F18" s="6"/>
      <c r="G18" s="6"/>
      <c r="H18" s="6"/>
      <c r="I18" s="6"/>
      <c r="J18" s="6"/>
      <c r="K18" s="6"/>
      <c r="L18" s="6"/>
      <c r="M18" s="6"/>
      <c r="N18" s="6"/>
      <c r="O18" s="6"/>
      <c r="P18" s="6"/>
      <c r="Q18" s="6"/>
    </row>
    <row r="19" spans="1:17" x14ac:dyDescent="0.4">
      <c r="A19" s="4"/>
      <c r="B19" s="6"/>
      <c r="C19" s="4"/>
      <c r="D19" s="6"/>
      <c r="E19" s="6"/>
      <c r="F19" s="6"/>
      <c r="G19" s="6"/>
      <c r="H19" s="6"/>
      <c r="I19" s="6"/>
      <c r="J19" s="6"/>
      <c r="K19" s="6"/>
      <c r="L19" s="6"/>
      <c r="M19" s="6"/>
      <c r="N19" s="6"/>
      <c r="O19" s="6"/>
      <c r="P19" s="6"/>
      <c r="Q19" s="6"/>
    </row>
    <row r="20" spans="1:17" x14ac:dyDescent="0.4">
      <c r="A20" s="4"/>
      <c r="B20" s="6"/>
      <c r="C20" s="4"/>
      <c r="D20" s="6"/>
      <c r="E20" s="6"/>
      <c r="F20" s="6"/>
      <c r="G20" s="6"/>
      <c r="H20" s="6"/>
      <c r="I20" s="6"/>
      <c r="J20" s="6"/>
      <c r="K20" s="6"/>
      <c r="L20" s="6"/>
      <c r="M20" s="6"/>
      <c r="N20" s="6"/>
      <c r="O20" s="6"/>
      <c r="P20" s="6"/>
      <c r="Q20" s="6"/>
    </row>
    <row r="21" spans="1:17" x14ac:dyDescent="0.4">
      <c r="A21" s="4"/>
      <c r="B21" s="6"/>
      <c r="C21" s="4"/>
      <c r="D21" s="6"/>
      <c r="E21" s="6"/>
      <c r="F21" s="6"/>
      <c r="G21" s="6"/>
      <c r="H21" s="6"/>
      <c r="I21" s="6"/>
      <c r="J21" s="6"/>
      <c r="K21" s="6"/>
      <c r="L21" s="6"/>
      <c r="M21" s="6"/>
      <c r="N21" s="6"/>
      <c r="O21" s="6"/>
      <c r="P21" s="6"/>
      <c r="Q21" s="6"/>
    </row>
    <row r="22" spans="1:17" x14ac:dyDescent="0.4">
      <c r="A22" s="4"/>
      <c r="B22" s="7"/>
      <c r="C22" s="4"/>
      <c r="D22" s="6"/>
      <c r="E22" s="6"/>
      <c r="F22" s="6"/>
      <c r="G22" s="6"/>
      <c r="H22" s="6"/>
      <c r="I22" s="6"/>
      <c r="J22" s="6"/>
      <c r="K22" s="6"/>
      <c r="L22" s="6"/>
      <c r="M22" s="6"/>
      <c r="N22" s="6"/>
      <c r="O22" s="6"/>
      <c r="P22" s="6"/>
      <c r="Q22" s="6"/>
    </row>
    <row r="23" spans="1:17" x14ac:dyDescent="0.4">
      <c r="A23" s="4"/>
      <c r="B23" s="7"/>
      <c r="C23" s="4"/>
      <c r="D23" s="6"/>
      <c r="E23" s="6"/>
      <c r="F23" s="6"/>
      <c r="G23" s="6"/>
      <c r="H23" s="6"/>
      <c r="I23" s="6"/>
      <c r="J23" s="6"/>
      <c r="K23" s="6"/>
      <c r="L23" s="6"/>
      <c r="M23" s="6"/>
      <c r="N23" s="6"/>
      <c r="O23" s="6"/>
      <c r="P23" s="6"/>
      <c r="Q23" s="6"/>
    </row>
    <row r="24" spans="1:17" x14ac:dyDescent="0.4">
      <c r="A24" s="4"/>
      <c r="B24" s="7"/>
      <c r="C24" s="4"/>
      <c r="D24" s="6"/>
      <c r="E24" s="6"/>
      <c r="F24" s="6"/>
      <c r="G24" s="6"/>
      <c r="H24" s="6"/>
      <c r="I24" s="6"/>
      <c r="J24" s="6"/>
      <c r="K24" s="6"/>
      <c r="L24" s="6"/>
      <c r="M24" s="6"/>
      <c r="N24" s="6"/>
      <c r="O24" s="6"/>
      <c r="P24" s="6"/>
      <c r="Q24" s="6"/>
    </row>
    <row r="25" spans="1:17" x14ac:dyDescent="0.4">
      <c r="A25" s="4"/>
      <c r="B25" s="7"/>
      <c r="C25" s="4"/>
      <c r="D25" s="6"/>
      <c r="E25" s="6"/>
      <c r="F25" s="6"/>
      <c r="G25" s="6"/>
      <c r="H25" s="6"/>
      <c r="I25" s="6"/>
      <c r="J25" s="6"/>
      <c r="K25" s="6"/>
      <c r="L25" s="6"/>
      <c r="M25" s="6"/>
      <c r="N25" s="6"/>
      <c r="O25" s="6"/>
      <c r="P25" s="6"/>
      <c r="Q25" s="6"/>
    </row>
    <row r="26" spans="1:17" x14ac:dyDescent="0.4">
      <c r="A26" s="4"/>
      <c r="B26" s="7"/>
      <c r="C26" s="4"/>
      <c r="D26" s="6"/>
      <c r="E26" s="6"/>
      <c r="F26" s="6"/>
      <c r="G26" s="6"/>
      <c r="H26" s="6"/>
      <c r="I26" s="6"/>
      <c r="J26" s="6"/>
      <c r="K26" s="6"/>
      <c r="L26" s="6"/>
      <c r="M26" s="6"/>
      <c r="N26" s="6"/>
      <c r="O26" s="6"/>
      <c r="P26" s="6"/>
      <c r="Q26" s="6"/>
    </row>
    <row r="27" spans="1:17" x14ac:dyDescent="0.4">
      <c r="A27" s="4"/>
      <c r="B27" s="7"/>
      <c r="C27" s="4"/>
      <c r="D27" s="6"/>
      <c r="E27" s="6"/>
      <c r="F27" s="6"/>
      <c r="G27" s="6"/>
      <c r="H27" s="6"/>
      <c r="I27" s="6"/>
      <c r="J27" s="6"/>
      <c r="K27" s="6"/>
      <c r="L27" s="6"/>
      <c r="M27" s="6"/>
      <c r="N27" s="6"/>
      <c r="O27" s="6"/>
      <c r="P27" s="6"/>
      <c r="Q27" s="6"/>
    </row>
    <row r="28" spans="1:17" x14ac:dyDescent="0.4">
      <c r="A28" s="4"/>
      <c r="B28" s="7"/>
      <c r="C28" s="4"/>
      <c r="D28" s="6"/>
      <c r="E28" s="6"/>
      <c r="F28" s="6"/>
      <c r="G28" s="6"/>
      <c r="H28" s="6"/>
      <c r="I28" s="6"/>
      <c r="J28" s="6"/>
      <c r="K28" s="6"/>
      <c r="L28" s="6"/>
      <c r="M28" s="6"/>
      <c r="N28" s="6"/>
      <c r="O28" s="6"/>
      <c r="P28" s="6"/>
      <c r="Q28" s="6"/>
    </row>
    <row r="29" spans="1:17" x14ac:dyDescent="0.4">
      <c r="A29" s="4"/>
      <c r="B29" s="7"/>
      <c r="C29" s="4"/>
      <c r="D29" s="6"/>
      <c r="E29" s="6"/>
      <c r="F29" s="6"/>
      <c r="G29" s="6"/>
      <c r="H29" s="6"/>
      <c r="I29" s="6"/>
      <c r="J29" s="6"/>
      <c r="K29" s="6"/>
      <c r="L29" s="6"/>
      <c r="M29" s="6"/>
      <c r="N29" s="6"/>
      <c r="O29" s="6"/>
      <c r="P29" s="6"/>
      <c r="Q29" s="6"/>
    </row>
    <row r="30" spans="1:17" x14ac:dyDescent="0.4">
      <c r="A30" s="4"/>
      <c r="B30" s="7"/>
      <c r="C30" s="4"/>
      <c r="D30" s="6"/>
      <c r="E30" s="6"/>
      <c r="F30" s="6"/>
      <c r="G30" s="6"/>
      <c r="H30" s="6"/>
      <c r="I30" s="6"/>
      <c r="J30" s="6"/>
      <c r="K30" s="6"/>
      <c r="L30" s="6"/>
      <c r="M30" s="6"/>
      <c r="N30" s="6"/>
      <c r="O30" s="6"/>
      <c r="P30" s="6"/>
      <c r="Q30" s="6"/>
    </row>
    <row r="31" spans="1:17" x14ac:dyDescent="0.4">
      <c r="A31" s="4"/>
      <c r="B31" s="7"/>
      <c r="C31" s="4"/>
      <c r="D31" s="6"/>
      <c r="E31" s="6"/>
      <c r="F31" s="6"/>
      <c r="G31" s="6"/>
      <c r="H31" s="6"/>
      <c r="I31" s="6"/>
      <c r="J31" s="6"/>
      <c r="K31" s="6"/>
      <c r="L31" s="6"/>
      <c r="M31" s="6"/>
      <c r="N31" s="6"/>
      <c r="O31" s="6"/>
      <c r="P31" s="6"/>
      <c r="Q31" s="6"/>
    </row>
  </sheetData>
  <phoneticPr fontId="1"/>
  <hyperlinks>
    <hyperlink ref="J2" r:id="rId1" xr:uid="{F7C4371B-2E2C-46B6-B29D-527C89A69DB2}"/>
    <hyperlink ref="K2" r:id="rId2" xr:uid="{CF0A28EF-22DF-4112-81AD-2F5EA460C019}"/>
    <hyperlink ref="J3" r:id="rId3" xr:uid="{E5E9AB39-F00C-4002-A94A-3911899CA85D}"/>
    <hyperlink ref="K3" r:id="rId4" xr:uid="{6CA3D937-7B97-4210-B2AC-98A8E0130858}"/>
    <hyperlink ref="L10" r:id="rId5" xr:uid="{CF997B43-53AB-4B25-9427-2775AC8925E5}"/>
    <hyperlink ref="M10" r:id="rId6" xr:uid="{9E4D7701-344F-40C0-A9C5-7B655B8DCD83}"/>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ThisWorkbook.ProcessWithApi">
                <anchor moveWithCells="1" sizeWithCells="1">
                  <from>
                    <xdr:col>5</xdr:col>
                    <xdr:colOff>123825</xdr:colOff>
                    <xdr:row>0</xdr:row>
                    <xdr:rowOff>276225</xdr:rowOff>
                  </from>
                  <to>
                    <xdr:col>5</xdr:col>
                    <xdr:colOff>628650</xdr:colOff>
                    <xdr:row>0</xdr:row>
                    <xdr:rowOff>476250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402F6-3419-40DD-8645-7D435CD52221}">
  <sheetPr codeName="Sheet2"/>
  <dimension ref="A1:I31"/>
  <sheetViews>
    <sheetView zoomScale="80" zoomScaleNormal="80" workbookViewId="0">
      <pane xSplit="5" ySplit="1" topLeftCell="F28" activePane="bottomRight" state="frozen"/>
      <selection pane="topRight" activeCell="F1" sqref="F1"/>
      <selection pane="bottomLeft" activeCell="A2" sqref="A2"/>
      <selection pane="bottomRight"/>
    </sheetView>
  </sheetViews>
  <sheetFormatPr defaultRowHeight="18.75" x14ac:dyDescent="0.4"/>
  <cols>
    <col min="1" max="1" width="11" style="8" bestFit="1" customWidth="1"/>
    <col min="2" max="2" width="17.25" style="8" bestFit="1" customWidth="1"/>
    <col min="3" max="3" width="24.625" style="8" customWidth="1"/>
    <col min="4" max="4" width="31" style="8" customWidth="1"/>
    <col min="5" max="5" width="13.75" style="8" customWidth="1"/>
    <col min="6" max="6" width="9" style="9" bestFit="1" customWidth="1"/>
    <col min="7" max="7" width="86.75" style="9" customWidth="1"/>
    <col min="8" max="8" width="49.375" style="9" customWidth="1"/>
    <col min="9" max="9" width="18.25" style="8" customWidth="1"/>
  </cols>
  <sheetData>
    <row r="1" spans="1:9" x14ac:dyDescent="0.4">
      <c r="A1" s="1" t="s">
        <v>0</v>
      </c>
      <c r="B1" s="1" t="s">
        <v>1</v>
      </c>
      <c r="C1" s="1" t="s">
        <v>2</v>
      </c>
      <c r="D1" s="1" t="s">
        <v>3</v>
      </c>
      <c r="E1" s="1" t="s">
        <v>4</v>
      </c>
      <c r="F1" s="2" t="s">
        <v>5</v>
      </c>
      <c r="G1" s="2" t="s">
        <v>6</v>
      </c>
      <c r="H1" s="2" t="s">
        <v>7</v>
      </c>
      <c r="I1" s="3" t="s">
        <v>8</v>
      </c>
    </row>
    <row r="2" spans="1:9" ht="90" x14ac:dyDescent="0.4">
      <c r="A2" s="4" t="s">
        <v>9</v>
      </c>
      <c r="B2" s="5" t="s">
        <v>10</v>
      </c>
      <c r="C2" s="4" t="s">
        <v>11</v>
      </c>
      <c r="D2" s="6" t="s">
        <v>12</v>
      </c>
      <c r="E2" s="6" t="s">
        <v>13</v>
      </c>
      <c r="F2" s="6"/>
      <c r="G2" s="6"/>
      <c r="H2" s="6"/>
      <c r="I2" s="5"/>
    </row>
    <row r="3" spans="1:9" ht="90" x14ac:dyDescent="0.4">
      <c r="A3" s="4" t="s">
        <v>14</v>
      </c>
      <c r="B3" s="5" t="s">
        <v>10</v>
      </c>
      <c r="C3" s="4" t="s">
        <v>15</v>
      </c>
      <c r="D3" s="6" t="s">
        <v>16</v>
      </c>
      <c r="E3" s="6" t="s">
        <v>17</v>
      </c>
      <c r="F3" s="6"/>
      <c r="G3" s="6"/>
      <c r="H3" s="6"/>
      <c r="I3" s="5"/>
    </row>
    <row r="4" spans="1:9" ht="90" x14ac:dyDescent="0.4">
      <c r="A4" s="4" t="s">
        <v>18</v>
      </c>
      <c r="B4" s="5" t="s">
        <v>10</v>
      </c>
      <c r="C4" s="4" t="s">
        <v>19</v>
      </c>
      <c r="D4" s="6" t="s">
        <v>20</v>
      </c>
      <c r="E4" s="6" t="s">
        <v>21</v>
      </c>
      <c r="F4" s="6"/>
      <c r="G4" s="6"/>
      <c r="H4" s="6"/>
      <c r="I4" s="5"/>
    </row>
    <row r="5" spans="1:9" ht="90" x14ac:dyDescent="0.4">
      <c r="A5" s="4" t="s">
        <v>22</v>
      </c>
      <c r="B5" s="5" t="s">
        <v>10</v>
      </c>
      <c r="C5" s="4" t="s">
        <v>23</v>
      </c>
      <c r="D5" s="6" t="s">
        <v>24</v>
      </c>
      <c r="E5" s="6" t="s">
        <v>25</v>
      </c>
      <c r="F5" s="6"/>
      <c r="G5" s="6"/>
      <c r="H5" s="6"/>
      <c r="I5" s="5"/>
    </row>
    <row r="6" spans="1:9" ht="90" x14ac:dyDescent="0.4">
      <c r="A6" s="4" t="s">
        <v>26</v>
      </c>
      <c r="B6" s="5" t="s">
        <v>10</v>
      </c>
      <c r="C6" s="4" t="s">
        <v>27</v>
      </c>
      <c r="D6" s="6" t="s">
        <v>28</v>
      </c>
      <c r="E6" s="6" t="s">
        <v>29</v>
      </c>
      <c r="F6" s="6"/>
      <c r="G6" s="6"/>
      <c r="H6" s="6"/>
      <c r="I6" s="5"/>
    </row>
    <row r="7" spans="1:9" ht="90" x14ac:dyDescent="0.4">
      <c r="A7" s="4" t="s">
        <v>30</v>
      </c>
      <c r="B7" s="5" t="s">
        <v>31</v>
      </c>
      <c r="C7" s="4" t="s">
        <v>32</v>
      </c>
      <c r="D7" s="6" t="s">
        <v>33</v>
      </c>
      <c r="E7" s="6" t="s">
        <v>34</v>
      </c>
      <c r="F7" s="6"/>
      <c r="G7" s="6"/>
      <c r="H7" s="6"/>
      <c r="I7" s="5"/>
    </row>
    <row r="8" spans="1:9" ht="90" x14ac:dyDescent="0.4">
      <c r="A8" s="4" t="s">
        <v>35</v>
      </c>
      <c r="B8" s="5" t="s">
        <v>31</v>
      </c>
      <c r="C8" s="4" t="s">
        <v>36</v>
      </c>
      <c r="D8" s="6" t="s">
        <v>37</v>
      </c>
      <c r="E8" s="6" t="s">
        <v>38</v>
      </c>
      <c r="F8" s="6"/>
      <c r="G8" s="6"/>
      <c r="H8" s="6"/>
      <c r="I8" s="5"/>
    </row>
    <row r="9" spans="1:9" ht="90" x14ac:dyDescent="0.4">
      <c r="A9" s="4" t="s">
        <v>39</v>
      </c>
      <c r="B9" s="5" t="s">
        <v>31</v>
      </c>
      <c r="C9" s="4" t="s">
        <v>40</v>
      </c>
      <c r="D9" s="6" t="s">
        <v>41</v>
      </c>
      <c r="E9" s="6" t="s">
        <v>42</v>
      </c>
      <c r="F9" s="6"/>
      <c r="G9" s="6"/>
      <c r="H9" s="6"/>
      <c r="I9" s="5"/>
    </row>
    <row r="10" spans="1:9" ht="90" x14ac:dyDescent="0.4">
      <c r="A10" s="4" t="s">
        <v>43</v>
      </c>
      <c r="B10" s="5" t="s">
        <v>31</v>
      </c>
      <c r="C10" s="4" t="s">
        <v>44</v>
      </c>
      <c r="D10" s="6" t="s">
        <v>45</v>
      </c>
      <c r="E10" s="6" t="s">
        <v>46</v>
      </c>
      <c r="F10" s="6"/>
      <c r="G10" s="6"/>
      <c r="H10" s="6"/>
      <c r="I10" s="5"/>
    </row>
    <row r="11" spans="1:9" ht="90" x14ac:dyDescent="0.4">
      <c r="A11" s="4" t="s">
        <v>47</v>
      </c>
      <c r="B11" s="5" t="s">
        <v>31</v>
      </c>
      <c r="C11" s="4" t="s">
        <v>48</v>
      </c>
      <c r="D11" s="6" t="s">
        <v>49</v>
      </c>
      <c r="E11" s="6" t="s">
        <v>50</v>
      </c>
      <c r="F11" s="6"/>
      <c r="G11" s="6"/>
      <c r="H11" s="6"/>
      <c r="I11" s="5"/>
    </row>
    <row r="12" spans="1:9" ht="90" x14ac:dyDescent="0.4">
      <c r="A12" s="4" t="s">
        <v>51</v>
      </c>
      <c r="B12" s="5" t="s">
        <v>31</v>
      </c>
      <c r="C12" s="4" t="s">
        <v>52</v>
      </c>
      <c r="D12" s="6" t="s">
        <v>53</v>
      </c>
      <c r="E12" s="6" t="s">
        <v>54</v>
      </c>
      <c r="F12" s="6"/>
      <c r="G12" s="6"/>
      <c r="H12" s="6"/>
      <c r="I12" s="5"/>
    </row>
    <row r="13" spans="1:9" ht="108" x14ac:dyDescent="0.4">
      <c r="A13" s="4" t="s">
        <v>55</v>
      </c>
      <c r="B13" s="5" t="s">
        <v>31</v>
      </c>
      <c r="C13" s="4" t="s">
        <v>56</v>
      </c>
      <c r="D13" s="6" t="s">
        <v>57</v>
      </c>
      <c r="E13" s="6"/>
      <c r="F13" s="6"/>
      <c r="G13" s="6"/>
      <c r="H13" s="6"/>
      <c r="I13" s="5"/>
    </row>
    <row r="14" spans="1:9" ht="90" x14ac:dyDescent="0.4">
      <c r="A14" s="4" t="s">
        <v>58</v>
      </c>
      <c r="B14" s="5" t="s">
        <v>31</v>
      </c>
      <c r="C14" s="4" t="s">
        <v>59</v>
      </c>
      <c r="D14" s="6" t="s">
        <v>60</v>
      </c>
      <c r="E14" s="6"/>
      <c r="F14" s="6"/>
      <c r="G14" s="6"/>
      <c r="H14" s="6"/>
      <c r="I14" s="5"/>
    </row>
    <row r="15" spans="1:9" ht="90" x14ac:dyDescent="0.4">
      <c r="A15" s="4" t="s">
        <v>61</v>
      </c>
      <c r="B15" s="5" t="s">
        <v>31</v>
      </c>
      <c r="C15" s="4" t="s">
        <v>62</v>
      </c>
      <c r="D15" s="6" t="s">
        <v>63</v>
      </c>
      <c r="E15" s="6"/>
      <c r="F15" s="6"/>
      <c r="G15" s="6"/>
      <c r="H15" s="6"/>
      <c r="I15" s="5"/>
    </row>
    <row r="16" spans="1:9" ht="90" x14ac:dyDescent="0.4">
      <c r="A16" s="4" t="s">
        <v>64</v>
      </c>
      <c r="B16" s="5" t="s">
        <v>31</v>
      </c>
      <c r="C16" s="4" t="s">
        <v>65</v>
      </c>
      <c r="D16" s="6" t="s">
        <v>66</v>
      </c>
      <c r="E16" s="6"/>
      <c r="F16" s="6"/>
      <c r="G16" s="6"/>
      <c r="H16" s="6"/>
      <c r="I16" s="5"/>
    </row>
    <row r="17" spans="1:9" ht="108" x14ac:dyDescent="0.4">
      <c r="A17" s="4" t="s">
        <v>67</v>
      </c>
      <c r="B17" s="5" t="s">
        <v>31</v>
      </c>
      <c r="C17" s="4" t="s">
        <v>68</v>
      </c>
      <c r="D17" s="6" t="s">
        <v>69</v>
      </c>
      <c r="E17" s="6"/>
      <c r="F17" s="6"/>
      <c r="G17" s="6"/>
      <c r="H17" s="6"/>
      <c r="I17" s="5"/>
    </row>
    <row r="18" spans="1:9" ht="90" x14ac:dyDescent="0.4">
      <c r="A18" s="4" t="s">
        <v>70</v>
      </c>
      <c r="B18" s="5" t="s">
        <v>31</v>
      </c>
      <c r="C18" s="4" t="s">
        <v>71</v>
      </c>
      <c r="D18" s="6" t="s">
        <v>72</v>
      </c>
      <c r="E18" s="6"/>
      <c r="F18" s="6"/>
      <c r="G18" s="6"/>
      <c r="H18" s="6"/>
      <c r="I18" s="5"/>
    </row>
    <row r="19" spans="1:9" ht="90" x14ac:dyDescent="0.4">
      <c r="A19" s="4" t="s">
        <v>73</v>
      </c>
      <c r="B19" s="5" t="s">
        <v>31</v>
      </c>
      <c r="C19" s="4" t="s">
        <v>74</v>
      </c>
      <c r="D19" s="6" t="s">
        <v>75</v>
      </c>
      <c r="E19" s="6"/>
      <c r="F19" s="6"/>
      <c r="G19" s="6"/>
      <c r="H19" s="6"/>
      <c r="I19" s="5"/>
    </row>
    <row r="20" spans="1:9" ht="90" x14ac:dyDescent="0.4">
      <c r="A20" s="4" t="s">
        <v>76</v>
      </c>
      <c r="B20" s="5" t="s">
        <v>31</v>
      </c>
      <c r="C20" s="4" t="s">
        <v>77</v>
      </c>
      <c r="D20" s="6" t="s">
        <v>78</v>
      </c>
      <c r="E20" s="6"/>
      <c r="F20" s="6"/>
      <c r="G20" s="6"/>
      <c r="H20" s="6"/>
      <c r="I20" s="5"/>
    </row>
    <row r="21" spans="1:9" ht="90" x14ac:dyDescent="0.4">
      <c r="A21" s="4" t="s">
        <v>79</v>
      </c>
      <c r="B21" s="5" t="s">
        <v>31</v>
      </c>
      <c r="C21" s="4" t="s">
        <v>80</v>
      </c>
      <c r="D21" s="6" t="s">
        <v>81</v>
      </c>
      <c r="E21" s="6"/>
      <c r="F21" s="6"/>
      <c r="G21" s="6"/>
      <c r="H21" s="6"/>
      <c r="I21" s="5"/>
    </row>
    <row r="22" spans="1:9" ht="90" x14ac:dyDescent="0.4">
      <c r="A22" s="4" t="s">
        <v>82</v>
      </c>
      <c r="B22" s="7" t="s">
        <v>83</v>
      </c>
      <c r="C22" s="4" t="s">
        <v>84</v>
      </c>
      <c r="D22" s="6" t="s">
        <v>85</v>
      </c>
      <c r="E22" s="6"/>
      <c r="F22" s="6"/>
      <c r="G22" s="6"/>
      <c r="H22" s="6"/>
      <c r="I22" s="5"/>
    </row>
    <row r="23" spans="1:9" ht="90" x14ac:dyDescent="0.4">
      <c r="A23" s="4" t="s">
        <v>86</v>
      </c>
      <c r="B23" s="7" t="s">
        <v>83</v>
      </c>
      <c r="C23" s="4" t="s">
        <v>87</v>
      </c>
      <c r="D23" s="6" t="s">
        <v>88</v>
      </c>
      <c r="E23" s="6"/>
      <c r="F23" s="6"/>
      <c r="G23" s="6"/>
      <c r="H23" s="6"/>
      <c r="I23" s="5"/>
    </row>
    <row r="24" spans="1:9" ht="90" x14ac:dyDescent="0.4">
      <c r="A24" s="4" t="s">
        <v>89</v>
      </c>
      <c r="B24" s="7" t="s">
        <v>83</v>
      </c>
      <c r="C24" s="4" t="s">
        <v>90</v>
      </c>
      <c r="D24" s="6" t="s">
        <v>91</v>
      </c>
      <c r="E24" s="6"/>
      <c r="F24" s="6"/>
      <c r="G24" s="6"/>
      <c r="H24" s="6"/>
      <c r="I24" s="5"/>
    </row>
    <row r="25" spans="1:9" ht="90" x14ac:dyDescent="0.4">
      <c r="A25" s="4" t="s">
        <v>92</v>
      </c>
      <c r="B25" s="7" t="s">
        <v>83</v>
      </c>
      <c r="C25" s="4" t="s">
        <v>93</v>
      </c>
      <c r="D25" s="6" t="s">
        <v>94</v>
      </c>
      <c r="E25" s="6"/>
      <c r="F25" s="6"/>
      <c r="G25" s="6"/>
      <c r="H25" s="6"/>
      <c r="I25" s="5"/>
    </row>
    <row r="26" spans="1:9" ht="90" x14ac:dyDescent="0.4">
      <c r="A26" s="4" t="s">
        <v>95</v>
      </c>
      <c r="B26" s="7" t="s">
        <v>83</v>
      </c>
      <c r="C26" s="4" t="s">
        <v>96</v>
      </c>
      <c r="D26" s="6" t="s">
        <v>97</v>
      </c>
      <c r="E26" s="6"/>
      <c r="F26" s="6"/>
      <c r="G26" s="6"/>
      <c r="H26" s="6"/>
      <c r="I26" s="5"/>
    </row>
    <row r="27" spans="1:9" ht="108" x14ac:dyDescent="0.4">
      <c r="A27" s="4" t="s">
        <v>98</v>
      </c>
      <c r="B27" s="7" t="s">
        <v>83</v>
      </c>
      <c r="C27" s="4" t="s">
        <v>99</v>
      </c>
      <c r="D27" s="6" t="s">
        <v>100</v>
      </c>
      <c r="E27" s="6"/>
      <c r="F27" s="6"/>
      <c r="G27" s="6"/>
      <c r="H27" s="6"/>
      <c r="I27" s="5"/>
    </row>
    <row r="28" spans="1:9" ht="90" x14ac:dyDescent="0.4">
      <c r="A28" s="4" t="s">
        <v>101</v>
      </c>
      <c r="B28" s="7" t="s">
        <v>83</v>
      </c>
      <c r="C28" s="4" t="s">
        <v>102</v>
      </c>
      <c r="D28" s="6" t="s">
        <v>103</v>
      </c>
      <c r="E28" s="6"/>
      <c r="F28" s="6"/>
      <c r="G28" s="6"/>
      <c r="H28" s="6"/>
      <c r="I28" s="5"/>
    </row>
    <row r="29" spans="1:9" ht="90" x14ac:dyDescent="0.4">
      <c r="A29" s="4" t="s">
        <v>104</v>
      </c>
      <c r="B29" s="7" t="s">
        <v>83</v>
      </c>
      <c r="C29" s="4" t="s">
        <v>105</v>
      </c>
      <c r="D29" s="6" t="s">
        <v>106</v>
      </c>
      <c r="E29" s="6"/>
      <c r="F29" s="6"/>
      <c r="G29" s="6"/>
      <c r="H29" s="6"/>
      <c r="I29" s="5"/>
    </row>
    <row r="30" spans="1:9" ht="90" x14ac:dyDescent="0.4">
      <c r="A30" s="4" t="s">
        <v>107</v>
      </c>
      <c r="B30" s="7" t="s">
        <v>83</v>
      </c>
      <c r="C30" s="4" t="s">
        <v>108</v>
      </c>
      <c r="D30" s="6" t="s">
        <v>109</v>
      </c>
      <c r="E30" s="6"/>
      <c r="F30" s="6"/>
      <c r="G30" s="6"/>
      <c r="H30" s="6"/>
      <c r="I30" s="5"/>
    </row>
    <row r="31" spans="1:9" ht="108" x14ac:dyDescent="0.4">
      <c r="A31" s="4" t="s">
        <v>110</v>
      </c>
      <c r="B31" s="7" t="s">
        <v>83</v>
      </c>
      <c r="C31" s="4" t="s">
        <v>111</v>
      </c>
      <c r="D31" s="6" t="s">
        <v>112</v>
      </c>
      <c r="E31" s="6"/>
      <c r="F31" s="6"/>
      <c r="G31" s="6"/>
      <c r="H31" s="6"/>
      <c r="I31" s="5"/>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ThisWorkbook.ProcessWithApi">
                <anchor moveWithCells="1" sizeWithCells="1">
                  <from>
                    <xdr:col>9</xdr:col>
                    <xdr:colOff>228600</xdr:colOff>
                    <xdr:row>1</xdr:row>
                    <xdr:rowOff>209550</xdr:rowOff>
                  </from>
                  <to>
                    <xdr:col>10</xdr:col>
                    <xdr:colOff>447675</xdr:colOff>
                    <xdr:row>1</xdr:row>
                    <xdr:rowOff>533400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内部統制評価_5コ</vt:lpstr>
      <vt:lpstr>内部統制評価</vt:lpstr>
      <vt:lpstr>内部統制評価_all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 Yoshizawa</dc:creator>
  <cp:lastModifiedBy>Go Yoshizawa</cp:lastModifiedBy>
  <dcterms:created xsi:type="dcterms:W3CDTF">2026-01-03T17:16:23Z</dcterms:created>
  <dcterms:modified xsi:type="dcterms:W3CDTF">2026-01-29T17:41:50Z</dcterms:modified>
</cp:coreProperties>
</file>