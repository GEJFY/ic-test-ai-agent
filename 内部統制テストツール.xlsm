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goyos\OneDrive\ドキュメント\VSCode_Dev\PythonDev\ic-test-ai-agent\"/>
    </mc:Choice>
  </mc:AlternateContent>
  <xr:revisionPtr revIDLastSave="0" documentId="13_ncr:1_{98FF110A-4A23-4FED-8209-2A19851BA859}" xr6:coauthVersionLast="47" xr6:coauthVersionMax="47" xr10:uidLastSave="{00000000-0000-0000-0000-000000000000}"/>
  <bookViews>
    <workbookView xWindow="-120" yWindow="-120" windowWidth="29040" windowHeight="17520" xr2:uid="{00000000-000D-0000-FFFF-FFFF00000000}"/>
  </bookViews>
  <sheets>
    <sheet name="内部統制評価" sheetId="1" r:id="rId1"/>
  </sheets>
  <definedNames>
    <definedName name="_xlnm._FilterDatabase" localSheetId="0" hidden="1">内部統制評価!$A$1:$R$31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1" l="1"/>
  <c r="F6" i="1"/>
</calcChain>
</file>

<file path=xl/sharedStrings.xml><?xml version="1.0" encoding="utf-8"?>
<sst xmlns="http://schemas.openxmlformats.org/spreadsheetml/2006/main" count="177" uniqueCount="149">
  <si>
    <t>テスト番号</t>
  </si>
  <si>
    <t>区分名</t>
  </si>
  <si>
    <t>内部統制の内容</t>
  </si>
  <si>
    <t>テストの方法</t>
  </si>
  <si>
    <t>証憑フォルダ</t>
  </si>
  <si>
    <t>評価結果</t>
  </si>
  <si>
    <t>判断根拠</t>
  </si>
  <si>
    <t>CLC-01</t>
  </si>
  <si>
    <t>全社的な内部統制</t>
  </si>
  <si>
    <t>CLC-02</t>
  </si>
  <si>
    <t>CLC-03</t>
  </si>
  <si>
    <t>CLC-04</t>
  </si>
  <si>
    <t>職務権限規定の最新版を閲覧し、現在の組織図や権限委譲の実態と整合しているかを確認する。</t>
  </si>
  <si>
    <t>CLC-05</t>
  </si>
  <si>
    <t>従業員向けポータルサイトの掲示内容を確認し、通報内容が適切に秘匿・処理されている記録を閲覧する。</t>
  </si>
  <si>
    <t>PLC-01</t>
  </si>
  <si>
    <t>業務プロセス統制</t>
  </si>
  <si>
    <t>サンプル抽出した新規取引の与信申請書を閲覧し、規定通りの承認印および財務分析資料が添付されているかを確認する。</t>
  </si>
  <si>
    <t>PLC-02</t>
  </si>
  <si>
    <t>テスト環境または実データにおいて、意図的に与信限度を超過する受注を入力し、システムがエラーを出力することを確認する。</t>
  </si>
  <si>
    <t>PLC-03</t>
  </si>
  <si>
    <t>出荷指示書と売上仕訳の日付を照合し、期間帰属（カットオフ）が適切に行われていることを確認する。</t>
  </si>
  <si>
    <t>PLC-04</t>
  </si>
  <si>
    <t>100万円以上の購買案件を抽出し、相見積書および承認済みの選定理由書が揃っているかを確認する。</t>
  </si>
  <si>
    <t>PLC-05</t>
  </si>
  <si>
    <t>物品受領書とシステム上の検収記録を照合し、不一致がないこと、および担当者の権限が適切かを確認する。</t>
  </si>
  <si>
    <t>PLC-06</t>
  </si>
  <si>
    <t>支払フローを確認し、振込実行時のシステムログから、作成者と承認者が同一人物でないことを確認する。</t>
  </si>
  <si>
    <t>PLC-07</t>
  </si>
  <si>
    <t>棚卸実施要領および棚卸結果報告書を閲覧し、差異分析の結果に責任者の承認印があることを確認する。</t>
  </si>
  <si>
    <t>PLC-08</t>
  </si>
  <si>
    <t>会計システムから仕訳データを抽出し、作成者（Prepared by）と承認者（Approved by）が異なっているかを確認する。</t>
  </si>
  <si>
    <t>PLC-09</t>
  </si>
  <si>
    <t>銀行勘定調整表を閲覧し、銀行発行の残高証明書と帳簿残高が一致しているか、差異の理由は妥当かを確認する。</t>
  </si>
  <si>
    <t>PLC-10</t>
  </si>
  <si>
    <t>固定資産現物調査リストを閲覧し、所在不明や廃棄済みの資産が適切に台帳から除外されているかを確認する。</t>
  </si>
  <si>
    <t>PLC-11</t>
  </si>
  <si>
    <t>給与計算明細と勤怠記録を突合し、残業代の計算式が規定（法定割増率など）通りであることを再計算により確認する。</t>
  </si>
  <si>
    <t>PLC-12</t>
  </si>
  <si>
    <t>給与マスターの変更履歴を抽出し、変更の根拠となる届出書と承認記録が保存されているかを確認する。</t>
  </si>
  <si>
    <t>PLC-13</t>
  </si>
  <si>
    <t>原価計算報告書を閲覧し、配賦基準が年度計画と乖離していないか、異常値に対する分析がなされているかを確認する。</t>
  </si>
  <si>
    <t>PLC-14</t>
  </si>
  <si>
    <t>税務申告書の控えおよび税理士のレビューメール、社内決裁書を閲覧し、承認プロセスを確認する。</t>
  </si>
  <si>
    <t>PLC-15</t>
  </si>
  <si>
    <t>開示委員会の議事録を閲覧し、開示書類のドラフトと会計数値の照合チェックが行われた記録を確認する。</t>
  </si>
  <si>
    <t>ITGC-01</t>
  </si>
  <si>
    <t>IT全般統制</t>
  </si>
  <si>
    <t>直近の退職者リストをサンプル抽出し、退職日当日にシステムアカウントが「無効」に変更されているかを確認する。</t>
  </si>
  <si>
    <t>ITGC-02</t>
  </si>
  <si>
    <t>ユーザー権限一覧表を抽出し、営業担当者に経理処理権限が付与されている等の不適切な兼務がないかを確認する。</t>
  </si>
  <si>
    <t>ITGC-03</t>
  </si>
  <si>
    <t>特権ID利用申請書と、実際のシステム操作ログを照合し、申請外の時間帯や目的外の利用がないかを確認する。</t>
  </si>
  <si>
    <t>ITGC-04</t>
  </si>
  <si>
    <t>アカウント棚卸実施報告書を閲覧し、未稼働アカウントの削除指示および実行結果が記録されているかを確認する。</t>
  </si>
  <si>
    <t>ITGC-05</t>
  </si>
  <si>
    <t>リリース管理表をサンプル抽出し、開発・テスト・リリースの各工程で担当者が分離され、承認印があるかを確認する。</t>
  </si>
  <si>
    <t>ITGC-06</t>
  </si>
  <si>
    <t>UAT計画書およびユーザー承認サイン済みのテスト完了報告書を閲覧し、期待通りの動作が確認されているかを確認する。</t>
  </si>
  <si>
    <t>ITGC-07</t>
  </si>
  <si>
    <t>バックアップ実行ログを閲覧し、直近1ヶ月間で欠落なく取得されていること、エラー時のリカバリ記録があるかを確認する。</t>
  </si>
  <si>
    <t>ITGC-08</t>
  </si>
  <si>
    <t>ジョブ運行管理ログを抽出し、エラー発生時に規定の連絡フローおよびリラン（再実行）が行われたかを確認する。</t>
  </si>
  <si>
    <t>ITGC-09</t>
  </si>
  <si>
    <t>サーバールームの入退室ログを抽出し、未承認の人物が入室していないか、または不自然な時間帯の入室がないかを確認する。</t>
  </si>
  <si>
    <t>ITGC-10</t>
  </si>
  <si>
    <t>委託先から受領したSOC報告書および、自社に影響する「利用者側の補完統制」の対応状況記録を閲覧する。</t>
  </si>
  <si>
    <t>全役職員を対象としたコンプライアンス研修が年1回実施され、受講状況が人事部によってモニタリングされている。</t>
    <phoneticPr fontId="1"/>
  </si>
  <si>
    <t>C:\Users\goyos\OneDrive\ドキュメント\VSCode_Dev\PythonDev\ic-test-ai-agent\SampleData\CLC-01</t>
    <phoneticPr fontId="1"/>
  </si>
  <si>
    <t>証憑ファイル名1</t>
    <rPh sb="0" eb="2">
      <t>ショウヒョウ</t>
    </rPh>
    <phoneticPr fontId="1"/>
  </si>
  <si>
    <t>証憑ファイル名2</t>
    <rPh sb="0" eb="2">
      <t>ショウヒョウ</t>
    </rPh>
    <phoneticPr fontId="1"/>
  </si>
  <si>
    <t>証憑ファイル名3</t>
    <rPh sb="0" eb="2">
      <t>ショウヒョウ</t>
    </rPh>
    <phoneticPr fontId="1"/>
  </si>
  <si>
    <t>証憑ファイル名4</t>
    <rPh sb="0" eb="2">
      <t>ショウヒョウ</t>
    </rPh>
    <phoneticPr fontId="1"/>
  </si>
  <si>
    <t>証憑ファイル名5</t>
    <rPh sb="0" eb="2">
      <t>ショウヒョウ</t>
    </rPh>
    <phoneticPr fontId="1"/>
  </si>
  <si>
    <t>証憑ファイル名6</t>
    <rPh sb="0" eb="2">
      <t>ショウヒョウ</t>
    </rPh>
    <phoneticPr fontId="1"/>
  </si>
  <si>
    <t>証憑ファイル名7</t>
    <rPh sb="0" eb="2">
      <t>ショウヒョウ</t>
    </rPh>
    <phoneticPr fontId="1"/>
  </si>
  <si>
    <t>証憑ファイル名8</t>
    <rPh sb="0" eb="2">
      <t>ショウヒョウ</t>
    </rPh>
    <phoneticPr fontId="1"/>
  </si>
  <si>
    <t>C:\Users\goyos\OneDrive\ドキュメント\VSCode_Dev\PythonDev\ic-test-ai-agent\SampleData\CLC-02</t>
    <phoneticPr fontId="1"/>
  </si>
  <si>
    <t>C:\Users\goyos\OneDrive\ドキュメント\VSCode_Dev\PythonDev\ic-test-ai-agent\SampleData\CLC-03</t>
    <phoneticPr fontId="1"/>
  </si>
  <si>
    <t>経営層は年度計画策定時に事業リスク評価を行い、その結果が取締役会にて承認されている。</t>
    <phoneticPr fontId="1"/>
  </si>
  <si>
    <t>内部監査室は、年度監査計画に基づき各部門の監査を実施し、指摘事項の改善状況をフォローアップしている。</t>
    <phoneticPr fontId="1"/>
  </si>
  <si>
    <t>研修実施報告書および受講者リストを閲覧し、全対象者が受講していること、未受講者への督促が行われているかを確認する。</t>
    <phoneticPr fontId="1"/>
  </si>
  <si>
    <t>取締役会議事録を閲覧し、リスクアセスメントの結果が報告され、承認を得ていることを確認する。</t>
    <phoneticPr fontId="1"/>
  </si>
  <si>
    <t>内部監査報告書および改善状況報告書をサンプル抽出し、指摘事項が期限内に改善されているかを確認する。</t>
    <phoneticPr fontId="1"/>
  </si>
  <si>
    <t>職務権限規定に基づき、各部門の承認権限が設定されており、規定外の承認が禁止されている。</t>
    <phoneticPr fontId="1"/>
  </si>
  <si>
    <t>内部通報窓口が設置され、その存在がポータルサイト等で周知されており、通報者の保護が規定されている。</t>
    <phoneticPr fontId="1"/>
  </si>
  <si>
    <t>タスク計画</t>
    <rPh sb="3" eb="5">
      <t>ケイカク</t>
    </rPh>
    <phoneticPr fontId="1"/>
  </si>
  <si>
    <t>テスト対象</t>
    <rPh sb="3" eb="5">
      <t>タイショウ</t>
    </rPh>
    <phoneticPr fontId="1"/>
  </si>
  <si>
    <t>新規取引開始時に、財務状況に基づき与信限度額が設定され、営業部長および経理部長の承認を得ている。</t>
    <phoneticPr fontId="1"/>
  </si>
  <si>
    <t>受注入力時に、ERPシステム上で与信限度額を超過する注文に対し、自動的にブロックがかかる設定となっている。</t>
    <phoneticPr fontId="1"/>
  </si>
  <si>
    <t>出荷データに基づき売上計上が自動で行われ、出荷日と計上日が一致する仕組みとなっている。</t>
    <phoneticPr fontId="1"/>
  </si>
  <si>
    <t>100万円以上の発注について、3社以上の相見積もりを取得し、選定理由書を作成して部長承認を得ている。</t>
    <phoneticPr fontId="1"/>
  </si>
  <si>
    <t>納入品と発注書の照合が行われ、検収担当者がシステム上で検収登録を行うことで支払債務が確定する。</t>
    <phoneticPr fontId="1"/>
  </si>
  <si>
    <t>振込データの作成者と承認者が分離されており、FBデータの送信には承認者の電子証明書が必要である。</t>
    <phoneticPr fontId="1"/>
  </si>
  <si>
    <t>半期に一度、現物棚卸が実施され、システム在庫との差異について理由分析と棚卸差損益の計上承認が行われている。</t>
    <phoneticPr fontId="1"/>
  </si>
  <si>
    <t>全ての振替伝票は、作成者以外の権限者によって内容の正確性が確認・承認された後に確定される。</t>
    <phoneticPr fontId="1"/>
  </si>
  <si>
    <t>月次決算時に、銀行残高と帳簿残高の照合（銀行勘定調整）が行われ、未達事項が適切に処理されている。</t>
    <phoneticPr fontId="1"/>
  </si>
  <si>
    <t>固定資産台帳と現物の符号を確認するため、年1回の現物確認調査が実施され、除却処理が適切に行われている。</t>
    <phoneticPr fontId="1"/>
  </si>
  <si>
    <t>] 勤怠データに基づき給与計算が行われ、残業代計算ロジックが最新の労基法に準拠しているか人事部長が確認している。</t>
    <phoneticPr fontId="1"/>
  </si>
  <si>
    <t>昇給や家族手当の変更は、辞令または届出書に基づき入力され、人事部次長が証憑と入力を照合している。</t>
    <phoneticPr fontId="1"/>
  </si>
  <si>
    <t>製造経費の配賦基準（作業時間等）が適切に設定され、実際原価計算結果が毎月製造本部長に報告されている。</t>
    <phoneticPr fontId="1"/>
  </si>
  <si>
    <t>法人税等の申告書案は、外部税理士のレビューを受けた後、CFOによって最終承認されている。</t>
    <phoneticPr fontId="1"/>
  </si>
  <si>
    <t>決算短信および有価証券報告書の作成数値は、決算数値と整合しているか開示委員会にて検証されている。</t>
    <phoneticPr fontId="1"/>
  </si>
  <si>
    <t>ユーザーIDの登録・変更は申請書に基づき情報システム部が実施し、退職者のIDは即日停止されている。</t>
    <phoneticPr fontId="1"/>
  </si>
  <si>
    <t>システム上の職務権限（ロール）は、担当業務に必要な最小限の権限（Need-to-know）に制限されている。</t>
    <phoneticPr fontId="1"/>
  </si>
  <si>
    <t>管理者権限（Administrator/root）の利用は、作業申請に基づき一時的に許可され、作業後にログが確認されている。</t>
    <phoneticPr fontId="1"/>
  </si>
  <si>
    <t>四半期に一度、全システムアカウントの棚卸を実施し、不要なアカウントや不要な権限の削除を行っている。</t>
    <phoneticPr fontId="1"/>
  </si>
  <si>
    <t>本番環境へのプログラム適用（リリース）は、開発担当者以外の移行担当者が承認後に実施している。</t>
    <phoneticPr fontId="1"/>
  </si>
  <si>
    <t>新機能の開発において、ユーザー受入テスト（UAT）が実施され、ユーザー部門責任者の承認を得てから移行している。</t>
    <phoneticPr fontId="1"/>
  </si>
  <si>
    <t>日次でシステムデータのバックアップが自動取得され、エラー時には運用担当者に通知される。</t>
    <phoneticPr fontId="1"/>
  </si>
  <si>
    <t>バッチ処理（夜間連携等）の正常終了が毎朝確認され、異常終了時は手順書に従い再実行されている。</t>
    <phoneticPr fontId="1"/>
  </si>
  <si>
    <t>サーバールームへの入退室はICカードで制限され、入退室ログが6ヶ月間保存されている。</t>
    <phoneticPr fontId="1"/>
  </si>
  <si>
    <t>システム保守を外部委託している場合、委託先のサービス受託業務に関する内部統制報告書（SOC1/SOC2）を受領し、評価している。</t>
    <phoneticPr fontId="1"/>
  </si>
  <si>
    <t>C:\Users\goyos\OneDrive\ドキュメント\VSCode_Dev\PythonDev\ic-test-ai-agent\SampleData\PLC-01</t>
  </si>
  <si>
    <t>C:\Users\goyos\OneDrive\ドキュメント\VSCode_Dev\PythonDev\ic-test-ai-agent\SampleData\ITGC-07</t>
  </si>
  <si>
    <t>C:\Users\goyos\OneDrive\ドキュメント\VSCode_Dev\PythonDev\ic-test-ai-agent\SampleData\ITGC-08</t>
  </si>
  <si>
    <t>C:\Users\goyos\OneDrive\ドキュメント\VSCode_Dev\PythonDev\ic-test-ai-agent\SampleData\ITGC-09</t>
  </si>
  <si>
    <t>C:\Users\goyos\OneDrive\ドキュメント\VSCode_Dev\PythonDev\ic-test-ai-agent\SampleData\ITGC-10</t>
  </si>
  <si>
    <t>C:\Users\goyos\OneDrive\ドキュメント\VSCode_Dev\PythonDev\ic-test-ai-agent\SampleData\PLC-02</t>
    <phoneticPr fontId="1"/>
  </si>
  <si>
    <t>C:\Users\goyos\OneDrive\ドキュメント\VSCode_Dev\PythonDev\ic-test-ai-agent\SampleData\PLC-03</t>
    <phoneticPr fontId="1"/>
  </si>
  <si>
    <t>C:\Users\goyos\OneDrive\ドキュメント\VSCode_Dev\PythonDev\ic-test-ai-agent\SampleData\PLC-04</t>
    <phoneticPr fontId="1"/>
  </si>
  <si>
    <t>C:\Users\goyos\OneDrive\ドキュメント\VSCode_Dev\PythonDev\ic-test-ai-agent\SampleData\PLC-05</t>
    <phoneticPr fontId="1"/>
  </si>
  <si>
    <t>C:\Users\goyos\OneDrive\ドキュメント\VSCode_Dev\PythonDev\ic-test-ai-agent\SampleData\PLC-06</t>
    <phoneticPr fontId="1"/>
  </si>
  <si>
    <t>C:\Users\goyos\OneDrive\ドキュメント\VSCode_Dev\PythonDev\ic-test-ai-agent\SampleData\PLC-07</t>
    <phoneticPr fontId="1"/>
  </si>
  <si>
    <t>C:\Users\goyos\OneDrive\ドキュメント\VSCode_Dev\PythonDev\ic-test-ai-agent\SampleData\PLC-08</t>
    <phoneticPr fontId="1"/>
  </si>
  <si>
    <t>C:\Users\goyos\OneDrive\ドキュメント\VSCode_Dev\PythonDev\ic-test-ai-agent\SampleData\PLC-09</t>
    <phoneticPr fontId="1"/>
  </si>
  <si>
    <t>C:\Users\goyos\OneDrive\ドキュメント\VSCode_Dev\PythonDev\ic-test-ai-agent\SampleData\PLC-10</t>
    <phoneticPr fontId="1"/>
  </si>
  <si>
    <t>C:\Users\goyos\OneDrive\ドキュメント\VSCode_Dev\PythonDev\ic-test-ai-agent\SampleData\PLC-11</t>
    <phoneticPr fontId="1"/>
  </si>
  <si>
    <t>C:\Users\goyos\OneDrive\ドキュメント\VSCode_Dev\PythonDev\ic-test-ai-agent\SampleData\PLC-12</t>
    <phoneticPr fontId="1"/>
  </si>
  <si>
    <t>C:\Users\goyos\OneDrive\ドキュメント\VSCode_Dev\PythonDev\ic-test-ai-agent\SampleData\PLC-13</t>
    <phoneticPr fontId="1"/>
  </si>
  <si>
    <t>C:\Users\goyos\OneDrive\ドキュメント\VSCode_Dev\PythonDev\ic-test-ai-agent\SampleData\PLC-14</t>
    <phoneticPr fontId="1"/>
  </si>
  <si>
    <t>C:\Users\goyos\OneDrive\ドキュメント\VSCode_Dev\PythonDev\ic-test-ai-agent\SampleData\PLC-15</t>
    <phoneticPr fontId="1"/>
  </si>
  <si>
    <t>C:\Users\goyos\OneDrive\ドキュメント\VSCode_Dev\PythonDev\ic-test-ai-agent\SampleData\ITGC-01</t>
    <phoneticPr fontId="1"/>
  </si>
  <si>
    <t>C:\Users\goyos\OneDrive\ドキュメント\VSCode_Dev\PythonDev\ic-test-ai-agent\SampleData\ITGC-02</t>
    <phoneticPr fontId="1"/>
  </si>
  <si>
    <t>C:\Users\goyos\OneDrive\ドキュメント\VSCode_Dev\PythonDev\ic-test-ai-agent\SampleData\ITGC-03</t>
    <phoneticPr fontId="1"/>
  </si>
  <si>
    <t>C:\Users\goyos\OneDrive\ドキュメント\VSCode_Dev\PythonDev\ic-test-ai-agent\SampleData\ITGC-04</t>
    <phoneticPr fontId="1"/>
  </si>
  <si>
    <t>C:\Users\goyos\OneDrive\ドキュメント\VSCode_Dev\PythonDev\ic-test-ai-agent\SampleData\ITGC-05</t>
    <phoneticPr fontId="1"/>
  </si>
  <si>
    <t>C:\Users\goyos\OneDrive\ドキュメント\VSCode_Dev\PythonDev\ic-test-ai-agent\SampleData\ITGC-06</t>
    <phoneticPr fontId="1"/>
  </si>
  <si>
    <t>highlighted_CLC-02_事業リスク評価結果_2025年度.xlsx</t>
  </si>
  <si>
    <t>有効</t>
    <phoneticPr fontId="1"/>
  </si>
  <si>
    <t>【A3:データ抽出】
研修報告書と受講者リストの数値を突合し、全対象者が受講済みかつ未受講者への督促が実施されているかを検証する。研修実施報告書（PDF）に記載された対象者総数と、研修受講者リスト（Excel）の受講済み人数を抽出・計算し、両証跡の人数が一致することを確認する。加えて、未受講者のリストが存在するか、もしくは督促の実施日・方法が記録されているかを確認する。必要に応じて、受講者リストの全員名が報告書に記載された受講者と一致するかを照合する。具体的には、対象者総数の確認、受講済み人数の突合、未受講者の有無の確認、未受講者への督促の有無の確認、両証跡の受講者名の一致の確認を確認する。</t>
    <phoneticPr fontId="1"/>
  </si>
  <si>
    <t>研修実施報告書としてCLC-01_コンプライアンス研修実施報告書_2025年度.pdfを閲覧し、対象者総数は60名で未受講は3名（TTC0007、TTC0023、TTC0043）および未受講者への督促日が12/02、12/09であることを確認した。受講者リストとしてCLC-01_研修受講者リスト_2025年度.xlsxを確認し、受講済53名、期限後受講4名、未受講3名の内訳と両証跡の数値が一致していることを突合した。補足として、未受講者への督促の有無も確認済み。年1回の実施と人事部によるモニタリングが整備されており、運用面でも計画通り実施されている。以上より、本統制は有効に整備・運用されていると判断する。</t>
    <phoneticPr fontId="1"/>
  </si>
  <si>
    <t>[CLC-01_コンプライアンス研修実施報告書_2025年度.pdf] PDF: ページ1–2、セクション: 研修実施報告書：
対象者総数60名、未受講3名（TTC0007、TTC0023、TTC0043）とあり、督促証跡として12/02および12/09の通知が整合する。
[CLC-01_コンプライアンス研修実施報告書_2025年度.pdf] PDF: ページ1–2、セクション: 研修実施報告書：
未受講者リストにはTTC0007、TTC0023、TTC0043が表示され、受講状況は53件が受講済みである。
[CLC-01_研修受講者リスト_2025年度.xlsx] Excel: シート名 実施概要シート：
受講済53名、期限後受講4名、未受講3名の内訳がPDFの報告書と一致している。
[CLC-01_研修受講者リスト_2025年度.xlsx] Excel: シート名 実施概要シート：
全対象者60名の総数の突合結果が一致することを確認した。</t>
    <phoneticPr fontId="1"/>
  </si>
  <si>
    <t>highlighted_CLC-01_コンプライアンス研修実施報告書_2025年度.pdf</t>
    <phoneticPr fontId="1"/>
  </si>
  <si>
    <t>highlighted_CLC-01_研修受講者リスト_2025年度.xlsx</t>
    <phoneticPr fontId="1"/>
  </si>
  <si>
    <t>【A6:複数文書統合】
複数文書間の整合性を確認して、リスク評価結果が取締役会により報告・承認されたことを検証する。Excelファイルのリスク評価結果と、取締役会議事録に記録されたリスク評価結果および承認情報が一致することを確認する。具体的には、Excelのリスク項目・発生可能性・影響度・総合リスクレベルと、議事録に記載されたリスク評価結果および承認日が同一項目・同一値・同一日付であることを突合する。具体的には、リスク評価結果の項目名・値・リスクレベルがExcelと議事録で整合していること、議事録にリスク評価結果の報告および承認の記載があること、承認日が議事録と一致することを確認する。</t>
    <phoneticPr fontId="1"/>
  </si>
  <si>
    <t>確認した証跡として、CLC-02_事業リスク評価結果_2025年度.xlsx および CLC-02_取締役会議事録_2025-04-25.docx を閲覧することを試みた。A6の実行結果は「要確認（信頼度: 0.00）」、複数文書統合時に「NoneType object has no attribute \u0027get\u0027」というエラーが発生し、証跡間の整合性照合を完遂できなかった。したがって、リスク評価項目の発生可能性・影響度・総合リスクレベルが取締役会報告・承認情報と一致することを検証できず、証跡の完全性と整合性が現時点で確認不能である。設計レベルの統制自体は文書が存在する前提の運用であると想定されるが、本件テスト手続きの運用結果としては不備と判断せざるを得ない。</t>
    <phoneticPr fontId="1"/>
  </si>
  <si>
    <t>highlighted_CLC-02_取締役会議事録_2025-04-25.docx</t>
    <phoneticPr fontId="1"/>
  </si>
  <si>
    <t>該当文書からの引用</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</si>
</sst>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u/>
      <sz val="11"/>
      <color theme="10"/>
      <name val="游ゴシック"/>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5" tint="0.79998168889431442"/>
        <bgColor indexed="64"/>
      </patternFill>
    </fill>
    <fill>
      <patternFill patternType="solid">
        <fgColor theme="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11">
    <xf numFmtId="0" fontId="0" fillId="0" borderId="0" xfId="0">
      <alignment vertical="center"/>
    </xf>
    <xf numFmtId="0" fontId="0" fillId="2" borderId="1" xfId="0" applyFill="1" applyBorder="1" applyAlignment="1">
      <alignment horizontal="left" vertical="top"/>
    </xf>
    <xf numFmtId="0" fontId="0" fillId="3" borderId="1" xfId="0" applyFill="1" applyBorder="1" applyAlignment="1">
      <alignment horizontal="left" vertical="top" wrapText="1"/>
    </xf>
    <xf numFmtId="0" fontId="2" fillId="0" borderId="1" xfId="0" applyFont="1" applyBorder="1" applyAlignment="1">
      <alignment horizontal="left"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4" fillId="0" borderId="1" xfId="1" applyBorder="1" applyAlignment="1">
      <alignment horizontal="left" vertical="top" wrapText="1"/>
    </xf>
    <xf numFmtId="0" fontId="0" fillId="2" borderId="1" xfId="0" applyFill="1" applyBorder="1" applyAlignment="1">
      <alignment horizontal="left" vertical="top" wrapText="1"/>
    </xf>
    <xf numFmtId="0" fontId="0" fillId="0" borderId="0" xfId="0" applyAlignment="1">
      <alignment vertical="center"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0</xdr:row>
          <xdr:rowOff>276225</xdr:rowOff>
        </xdr:from>
        <xdr:to>
          <xdr:col>6</xdr:col>
          <xdr:colOff>628650</xdr:colOff>
          <xdr:row>0</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266700</xdr:rowOff>
        </xdr:from>
        <xdr:to>
          <xdr:col>7</xdr:col>
          <xdr:colOff>590550</xdr:colOff>
          <xdr:row>0</xdr:row>
          <xdr:rowOff>485775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31"/>
  <sheetViews>
    <sheetView tabSelected="1" zoomScale="124" zoomScaleNormal="55" workbookViewId="0">
      <pane xSplit="6" ySplit="1" topLeftCell="I2" activePane="bottomRight" state="frozen"/>
      <selection pane="topRight" activeCell="F1" sqref="F1"/>
      <selection pane="bottomLeft" activeCell="A2" sqref="A2"/>
      <selection pane="bottomRight" activeCell="J2" sqref="J2"/>
    </sheetView>
  </sheetViews>
  <sheetFormatPr defaultRowHeight="18.75" x14ac:dyDescent="0.4"/>
  <cols>
    <col min="1" max="2" width="9.75" style="7" customWidth="1"/>
    <col min="3" max="3" width="8.5" style="6" customWidth="1"/>
    <col min="4" max="4" width="18" style="7" customWidth="1"/>
    <col min="5" max="5" width="15.5" style="7" customWidth="1"/>
    <col min="6" max="6" width="13.375" style="7" customWidth="1"/>
    <col min="7" max="7" width="9.25" style="7" bestFit="1" customWidth="1"/>
    <col min="8" max="8" width="54" style="7" customWidth="1"/>
    <col min="9" max="9" width="49.875" style="7" customWidth="1"/>
    <col min="10" max="10" width="76" style="7" customWidth="1"/>
    <col min="11" max="18" width="17" style="7" customWidth="1"/>
    <col min="19" max="16384" width="9" style="10"/>
  </cols>
  <sheetData>
    <row r="1" spans="1:18" ht="42.75" customHeight="1" x14ac:dyDescent="0.4">
      <c r="A1" s="9" t="s">
        <v>0</v>
      </c>
      <c r="B1" s="9" t="s">
        <v>87</v>
      </c>
      <c r="C1" s="1" t="s">
        <v>1</v>
      </c>
      <c r="D1" s="9" t="s">
        <v>2</v>
      </c>
      <c r="E1" s="9" t="s">
        <v>3</v>
      </c>
      <c r="F1" s="9" t="s">
        <v>4</v>
      </c>
      <c r="G1" s="2" t="s">
        <v>5</v>
      </c>
      <c r="H1" s="2" t="s">
        <v>86</v>
      </c>
      <c r="I1" s="2" t="s">
        <v>6</v>
      </c>
      <c r="J1" s="2" t="s">
        <v>148</v>
      </c>
      <c r="K1" s="2" t="s">
        <v>69</v>
      </c>
      <c r="L1" s="2" t="s">
        <v>70</v>
      </c>
      <c r="M1" s="2" t="s">
        <v>71</v>
      </c>
      <c r="N1" s="2" t="s">
        <v>72</v>
      </c>
      <c r="O1" s="2" t="s">
        <v>73</v>
      </c>
      <c r="P1" s="2" t="s">
        <v>74</v>
      </c>
      <c r="Q1" s="2" t="s">
        <v>75</v>
      </c>
      <c r="R1" s="2" t="s">
        <v>76</v>
      </c>
    </row>
    <row r="2" spans="1:18" ht="281.25" customHeight="1" x14ac:dyDescent="0.4">
      <c r="A2" s="3" t="s">
        <v>7</v>
      </c>
      <c r="B2" s="3" t="b">
        <v>1</v>
      </c>
      <c r="C2" s="4" t="s">
        <v>8</v>
      </c>
      <c r="D2" s="5" t="s">
        <v>67</v>
      </c>
      <c r="E2" s="5" t="s">
        <v>81</v>
      </c>
      <c r="F2" s="5" t="s">
        <v>68</v>
      </c>
      <c r="G2" s="5" t="s">
        <v>139</v>
      </c>
      <c r="H2" s="5" t="s">
        <v>140</v>
      </c>
      <c r="I2" s="5" t="s">
        <v>141</v>
      </c>
      <c r="J2" s="5" t="s">
        <v>142</v>
      </c>
      <c r="K2" s="8" t="s">
        <v>143</v>
      </c>
      <c r="L2" s="8" t="s">
        <v>144</v>
      </c>
      <c r="M2" s="8"/>
      <c r="N2" s="8"/>
      <c r="O2" s="8"/>
      <c r="P2" s="8"/>
      <c r="Q2" s="8"/>
      <c r="R2" s="8"/>
    </row>
    <row r="3" spans="1:18" ht="225" customHeight="1" x14ac:dyDescent="0.4">
      <c r="A3" s="3" t="s">
        <v>9</v>
      </c>
      <c r="B3" s="3" t="b">
        <v>1</v>
      </c>
      <c r="C3" s="4" t="s">
        <v>8</v>
      </c>
      <c r="D3" s="5" t="s">
        <v>79</v>
      </c>
      <c r="E3" s="5" t="s">
        <v>82</v>
      </c>
      <c r="F3" s="5" t="s">
        <v>77</v>
      </c>
      <c r="G3" s="5" t="s">
        <v>139</v>
      </c>
      <c r="H3" s="5" t="s">
        <v>145</v>
      </c>
      <c r="I3" s="5" t="s">
        <v>146</v>
      </c>
      <c r="J3" s="5"/>
      <c r="K3" s="8" t="s">
        <v>138</v>
      </c>
      <c r="L3" s="8" t="s">
        <v>147</v>
      </c>
      <c r="M3" s="4"/>
      <c r="N3" s="4"/>
      <c r="O3" s="4"/>
      <c r="P3" s="4"/>
      <c r="Q3" s="4"/>
      <c r="R3" s="4"/>
    </row>
    <row r="4" spans="1:18" ht="262.5" customHeight="1" x14ac:dyDescent="0.4">
      <c r="A4" s="3" t="s">
        <v>10</v>
      </c>
      <c r="B4" s="3" t="b">
        <v>0</v>
      </c>
      <c r="C4" s="4" t="s">
        <v>8</v>
      </c>
      <c r="D4" s="5" t="s">
        <v>80</v>
      </c>
      <c r="E4" s="5" t="s">
        <v>83</v>
      </c>
      <c r="F4" s="5" t="s">
        <v>78</v>
      </c>
      <c r="G4" s="5"/>
      <c r="H4" s="5"/>
      <c r="I4" s="5"/>
      <c r="J4" s="5"/>
      <c r="K4" s="8"/>
      <c r="L4" s="8"/>
      <c r="M4" s="4"/>
      <c r="N4" s="4"/>
      <c r="O4" s="4"/>
      <c r="P4" s="4"/>
      <c r="Q4" s="4"/>
      <c r="R4" s="4"/>
    </row>
    <row r="5" spans="1:18" ht="220.5" customHeight="1" x14ac:dyDescent="0.4">
      <c r="A5" s="5" t="s">
        <v>11</v>
      </c>
      <c r="B5" s="5" t="b">
        <v>0</v>
      </c>
      <c r="C5" s="5" t="s">
        <v>8</v>
      </c>
      <c r="D5" s="5" t="s">
        <v>84</v>
      </c>
      <c r="E5" s="5" t="s">
        <v>12</v>
      </c>
      <c r="F5" s="4" t="str">
        <f>"C:\Users\goyos\OneDrive\ドキュメント\VSCode_Dev\PythonDev\ic-test-ai-agent\SampleData\"&amp;A5</f>
        <v>C:\Users\goyos\OneDrive\ドキュメント\VSCode_Dev\PythonDev\ic-test-ai-agent\SampleData\CLC-04</v>
      </c>
      <c r="G5" s="4"/>
      <c r="H5" s="4"/>
      <c r="I5" s="4"/>
      <c r="J5" s="4"/>
      <c r="K5" s="8"/>
      <c r="L5" s="8"/>
      <c r="M5" s="4"/>
      <c r="N5" s="4"/>
      <c r="O5" s="4"/>
      <c r="P5" s="4"/>
      <c r="Q5" s="4"/>
      <c r="R5" s="4"/>
    </row>
    <row r="6" spans="1:18" ht="150" x14ac:dyDescent="0.4">
      <c r="A6" s="5" t="s">
        <v>13</v>
      </c>
      <c r="B6" s="5" t="b">
        <v>0</v>
      </c>
      <c r="C6" s="5" t="s">
        <v>8</v>
      </c>
      <c r="D6" s="5" t="s">
        <v>85</v>
      </c>
      <c r="E6" s="5" t="s">
        <v>14</v>
      </c>
      <c r="F6" s="4" t="str">
        <f t="shared" ref="F6" si="0">"C:\Users\goyos\OneDrive\ドキュメント\VSCode_Dev\PythonDev\ic-test-ai-agent\SampleData\"&amp;A6</f>
        <v>C:\Users\goyos\OneDrive\ドキュメント\VSCode_Dev\PythonDev\ic-test-ai-agent\SampleData\CLC-05</v>
      </c>
      <c r="G6" s="4"/>
      <c r="H6" s="4"/>
      <c r="I6" s="4"/>
      <c r="J6" s="4"/>
      <c r="K6" s="8"/>
      <c r="L6" s="8"/>
      <c r="M6" s="4"/>
      <c r="N6" s="4"/>
      <c r="O6" s="4"/>
      <c r="P6" s="4"/>
      <c r="Q6" s="4"/>
      <c r="R6" s="4"/>
    </row>
    <row r="7" spans="1:18" ht="150" x14ac:dyDescent="0.4">
      <c r="A7" s="5" t="s">
        <v>15</v>
      </c>
      <c r="B7" s="5" t="b">
        <v>0</v>
      </c>
      <c r="C7" s="5" t="s">
        <v>16</v>
      </c>
      <c r="D7" s="5" t="s">
        <v>88</v>
      </c>
      <c r="E7" s="5" t="s">
        <v>17</v>
      </c>
      <c r="F7" s="4" t="s">
        <v>113</v>
      </c>
      <c r="G7" s="4"/>
      <c r="H7" s="4"/>
      <c r="I7" s="4"/>
      <c r="J7" s="4"/>
      <c r="K7" s="8"/>
      <c r="L7" s="8"/>
      <c r="M7" s="4"/>
      <c r="N7" s="4"/>
      <c r="O7" s="4"/>
      <c r="P7" s="4"/>
      <c r="Q7" s="4"/>
      <c r="R7" s="4"/>
    </row>
    <row r="8" spans="1:18" ht="168.75" x14ac:dyDescent="0.4">
      <c r="A8" s="5" t="s">
        <v>18</v>
      </c>
      <c r="B8" s="5" t="b">
        <v>0</v>
      </c>
      <c r="C8" s="5" t="s">
        <v>16</v>
      </c>
      <c r="D8" s="5" t="s">
        <v>89</v>
      </c>
      <c r="E8" s="5" t="s">
        <v>19</v>
      </c>
      <c r="F8" s="4" t="s">
        <v>118</v>
      </c>
      <c r="G8" s="4"/>
      <c r="H8" s="4"/>
      <c r="I8" s="4"/>
      <c r="J8" s="4"/>
      <c r="K8" s="8"/>
      <c r="L8" s="8"/>
      <c r="M8" s="4"/>
      <c r="N8" s="4"/>
      <c r="O8" s="4"/>
      <c r="P8" s="4"/>
      <c r="Q8" s="4"/>
      <c r="R8" s="4"/>
    </row>
    <row r="9" spans="1:18" ht="150" x14ac:dyDescent="0.4">
      <c r="A9" s="5" t="s">
        <v>20</v>
      </c>
      <c r="B9" s="5" t="b">
        <v>0</v>
      </c>
      <c r="C9" s="5" t="s">
        <v>16</v>
      </c>
      <c r="D9" s="5" t="s">
        <v>90</v>
      </c>
      <c r="E9" s="5" t="s">
        <v>21</v>
      </c>
      <c r="F9" s="4" t="s">
        <v>119</v>
      </c>
      <c r="G9" s="4"/>
      <c r="H9" s="4"/>
      <c r="I9" s="4"/>
      <c r="J9" s="4"/>
      <c r="K9" s="8"/>
      <c r="L9" s="8"/>
      <c r="M9" s="4"/>
      <c r="N9" s="4"/>
      <c r="O9" s="4"/>
      <c r="P9" s="4"/>
      <c r="Q9" s="4"/>
      <c r="R9" s="4"/>
    </row>
    <row r="10" spans="1:18" ht="150" x14ac:dyDescent="0.4">
      <c r="A10" s="5" t="s">
        <v>22</v>
      </c>
      <c r="B10" s="5" t="b">
        <v>0</v>
      </c>
      <c r="C10" s="5" t="s">
        <v>16</v>
      </c>
      <c r="D10" s="5" t="s">
        <v>91</v>
      </c>
      <c r="E10" s="5" t="s">
        <v>23</v>
      </c>
      <c r="F10" s="4" t="s">
        <v>120</v>
      </c>
      <c r="G10" s="4"/>
      <c r="H10" s="4"/>
      <c r="I10" s="4"/>
      <c r="J10" s="4"/>
      <c r="K10" s="8"/>
      <c r="L10" s="8"/>
      <c r="M10" s="8"/>
      <c r="N10" s="8"/>
      <c r="O10" s="4"/>
      <c r="P10" s="4"/>
      <c r="Q10" s="4"/>
      <c r="R10" s="4"/>
    </row>
    <row r="11" spans="1:18" ht="150" x14ac:dyDescent="0.4">
      <c r="A11" s="5" t="s">
        <v>24</v>
      </c>
      <c r="B11" s="5" t="b">
        <v>0</v>
      </c>
      <c r="C11" s="5" t="s">
        <v>16</v>
      </c>
      <c r="D11" s="5" t="s">
        <v>92</v>
      </c>
      <c r="E11" s="5" t="s">
        <v>25</v>
      </c>
      <c r="F11" s="4" t="s">
        <v>121</v>
      </c>
      <c r="G11" s="4"/>
      <c r="H11" s="4"/>
      <c r="I11" s="4"/>
      <c r="J11" s="4"/>
      <c r="K11" s="8"/>
      <c r="L11" s="8"/>
      <c r="M11" s="4"/>
      <c r="N11" s="4"/>
      <c r="O11" s="4"/>
      <c r="P11" s="4"/>
      <c r="Q11" s="4"/>
      <c r="R11" s="4"/>
    </row>
    <row r="12" spans="1:18" ht="150" x14ac:dyDescent="0.4">
      <c r="A12" s="5" t="s">
        <v>26</v>
      </c>
      <c r="B12" s="5" t="b">
        <v>0</v>
      </c>
      <c r="C12" s="5" t="s">
        <v>16</v>
      </c>
      <c r="D12" s="5" t="s">
        <v>93</v>
      </c>
      <c r="E12" s="5" t="s">
        <v>27</v>
      </c>
      <c r="F12" s="4" t="s">
        <v>122</v>
      </c>
      <c r="G12" s="4"/>
      <c r="H12" s="4"/>
      <c r="I12" s="4"/>
      <c r="J12" s="4"/>
      <c r="K12" s="8"/>
      <c r="L12" s="8"/>
      <c r="M12" s="4"/>
      <c r="N12" s="4"/>
      <c r="O12" s="4"/>
      <c r="P12" s="4"/>
      <c r="Q12" s="4"/>
      <c r="R12" s="4"/>
    </row>
    <row r="13" spans="1:18" ht="150" x14ac:dyDescent="0.4">
      <c r="A13" s="5" t="s">
        <v>28</v>
      </c>
      <c r="B13" s="5" t="b">
        <v>0</v>
      </c>
      <c r="C13" s="5" t="s">
        <v>16</v>
      </c>
      <c r="D13" s="5" t="s">
        <v>94</v>
      </c>
      <c r="E13" s="5" t="s">
        <v>29</v>
      </c>
      <c r="F13" s="4" t="s">
        <v>123</v>
      </c>
      <c r="G13" s="4"/>
      <c r="H13" s="4"/>
      <c r="I13" s="4"/>
      <c r="J13" s="4"/>
      <c r="K13" s="4"/>
      <c r="L13" s="4"/>
      <c r="M13" s="4"/>
      <c r="N13" s="4"/>
      <c r="O13" s="4"/>
      <c r="P13" s="4"/>
      <c r="Q13" s="4"/>
      <c r="R13" s="4"/>
    </row>
    <row r="14" spans="1:18" ht="150" x14ac:dyDescent="0.4">
      <c r="A14" s="5" t="s">
        <v>30</v>
      </c>
      <c r="B14" s="5" t="b">
        <v>0</v>
      </c>
      <c r="C14" s="5" t="s">
        <v>16</v>
      </c>
      <c r="D14" s="5" t="s">
        <v>95</v>
      </c>
      <c r="E14" s="5" t="s">
        <v>31</v>
      </c>
      <c r="F14" s="4" t="s">
        <v>124</v>
      </c>
      <c r="G14" s="4"/>
      <c r="H14" s="4"/>
      <c r="I14" s="4"/>
      <c r="J14" s="4"/>
      <c r="K14" s="4"/>
      <c r="L14" s="4"/>
      <c r="M14" s="4"/>
      <c r="N14" s="4"/>
      <c r="O14" s="4"/>
      <c r="P14" s="4"/>
      <c r="Q14" s="4"/>
      <c r="R14" s="4"/>
    </row>
    <row r="15" spans="1:18" ht="150" x14ac:dyDescent="0.4">
      <c r="A15" s="5" t="s">
        <v>32</v>
      </c>
      <c r="B15" s="5" t="b">
        <v>0</v>
      </c>
      <c r="C15" s="5" t="s">
        <v>16</v>
      </c>
      <c r="D15" s="5" t="s">
        <v>96</v>
      </c>
      <c r="E15" s="5" t="s">
        <v>33</v>
      </c>
      <c r="F15" s="4" t="s">
        <v>125</v>
      </c>
      <c r="G15" s="4"/>
      <c r="H15" s="4"/>
      <c r="I15" s="4"/>
      <c r="J15" s="4"/>
      <c r="K15" s="4"/>
      <c r="L15" s="4"/>
      <c r="M15" s="4"/>
      <c r="N15" s="4"/>
      <c r="O15" s="4"/>
      <c r="P15" s="4"/>
      <c r="Q15" s="4"/>
      <c r="R15" s="4"/>
    </row>
    <row r="16" spans="1:18" ht="150" x14ac:dyDescent="0.4">
      <c r="A16" s="3" t="s">
        <v>34</v>
      </c>
      <c r="B16" s="5" t="b">
        <v>0</v>
      </c>
      <c r="C16" s="5" t="s">
        <v>16</v>
      </c>
      <c r="D16" s="5" t="s">
        <v>97</v>
      </c>
      <c r="E16" s="5" t="s">
        <v>35</v>
      </c>
      <c r="F16" s="4" t="s">
        <v>126</v>
      </c>
      <c r="G16" s="4"/>
      <c r="H16" s="4"/>
      <c r="I16" s="4"/>
      <c r="J16" s="4"/>
      <c r="K16" s="4"/>
      <c r="L16" s="4"/>
      <c r="M16" s="4"/>
      <c r="N16" s="4"/>
      <c r="O16" s="4"/>
      <c r="P16" s="4"/>
      <c r="Q16" s="4"/>
      <c r="R16" s="4"/>
    </row>
    <row r="17" spans="1:18" ht="150" x14ac:dyDescent="0.4">
      <c r="A17" s="3" t="s">
        <v>36</v>
      </c>
      <c r="B17" s="5" t="b">
        <v>0</v>
      </c>
      <c r="C17" s="5" t="s">
        <v>16</v>
      </c>
      <c r="D17" s="5" t="s">
        <v>98</v>
      </c>
      <c r="E17" s="5" t="s">
        <v>37</v>
      </c>
      <c r="F17" s="4" t="s">
        <v>127</v>
      </c>
      <c r="G17" s="4"/>
      <c r="H17" s="4"/>
      <c r="I17" s="4"/>
      <c r="J17" s="4"/>
      <c r="K17" s="4"/>
      <c r="L17" s="4"/>
      <c r="M17" s="4"/>
      <c r="N17" s="4"/>
      <c r="O17" s="4"/>
      <c r="P17" s="4"/>
      <c r="Q17" s="4"/>
      <c r="R17" s="4"/>
    </row>
    <row r="18" spans="1:18" ht="150" x14ac:dyDescent="0.4">
      <c r="A18" s="3" t="s">
        <v>38</v>
      </c>
      <c r="B18" s="5" t="b">
        <v>0</v>
      </c>
      <c r="C18" s="5" t="s">
        <v>16</v>
      </c>
      <c r="D18" s="5" t="s">
        <v>99</v>
      </c>
      <c r="E18" s="5" t="s">
        <v>39</v>
      </c>
      <c r="F18" s="4" t="s">
        <v>128</v>
      </c>
      <c r="G18" s="4"/>
      <c r="H18" s="4"/>
      <c r="I18" s="4"/>
      <c r="J18" s="4"/>
      <c r="K18" s="4"/>
      <c r="L18" s="4"/>
      <c r="M18" s="4"/>
      <c r="N18" s="4"/>
      <c r="O18" s="4"/>
      <c r="P18" s="4"/>
      <c r="Q18" s="4"/>
      <c r="R18" s="4"/>
    </row>
    <row r="19" spans="1:18" ht="150" x14ac:dyDescent="0.4">
      <c r="A19" s="3" t="s">
        <v>40</v>
      </c>
      <c r="B19" s="5" t="b">
        <v>0</v>
      </c>
      <c r="C19" s="5" t="s">
        <v>16</v>
      </c>
      <c r="D19" s="5" t="s">
        <v>100</v>
      </c>
      <c r="E19" s="5" t="s">
        <v>41</v>
      </c>
      <c r="F19" s="4" t="s">
        <v>129</v>
      </c>
      <c r="G19" s="4"/>
      <c r="H19" s="4"/>
      <c r="I19" s="4"/>
      <c r="J19" s="4"/>
      <c r="K19" s="4"/>
      <c r="L19" s="4"/>
      <c r="M19" s="4"/>
      <c r="N19" s="4"/>
      <c r="O19" s="4"/>
      <c r="P19" s="4"/>
      <c r="Q19" s="4"/>
      <c r="R19" s="4"/>
    </row>
    <row r="20" spans="1:18" ht="150" x14ac:dyDescent="0.4">
      <c r="A20" s="3" t="s">
        <v>42</v>
      </c>
      <c r="B20" s="5" t="b">
        <v>0</v>
      </c>
      <c r="C20" s="5" t="s">
        <v>16</v>
      </c>
      <c r="D20" s="5" t="s">
        <v>101</v>
      </c>
      <c r="E20" s="5" t="s">
        <v>43</v>
      </c>
      <c r="F20" s="4" t="s">
        <v>130</v>
      </c>
      <c r="G20" s="4"/>
      <c r="H20" s="4"/>
      <c r="I20" s="4"/>
      <c r="J20" s="4"/>
      <c r="K20" s="4"/>
      <c r="L20" s="4"/>
      <c r="M20" s="4"/>
      <c r="N20" s="4"/>
      <c r="O20" s="4"/>
      <c r="P20" s="4"/>
      <c r="Q20" s="4"/>
      <c r="R20" s="4"/>
    </row>
    <row r="21" spans="1:18" ht="150" x14ac:dyDescent="0.4">
      <c r="A21" s="3" t="s">
        <v>44</v>
      </c>
      <c r="B21" s="5" t="b">
        <v>0</v>
      </c>
      <c r="C21" s="5" t="s">
        <v>16</v>
      </c>
      <c r="D21" s="5" t="s">
        <v>102</v>
      </c>
      <c r="E21" s="5" t="s">
        <v>45</v>
      </c>
      <c r="F21" s="4" t="s">
        <v>131</v>
      </c>
      <c r="G21" s="4"/>
      <c r="H21" s="4"/>
      <c r="I21" s="4"/>
      <c r="J21" s="4"/>
      <c r="K21" s="4"/>
      <c r="L21" s="4"/>
      <c r="M21" s="4"/>
      <c r="N21" s="4"/>
      <c r="O21" s="4"/>
      <c r="P21" s="4"/>
      <c r="Q21" s="4"/>
      <c r="R21" s="4"/>
    </row>
    <row r="22" spans="1:18" ht="150" x14ac:dyDescent="0.4">
      <c r="A22" s="3" t="s">
        <v>46</v>
      </c>
      <c r="B22" s="5" t="b">
        <v>0</v>
      </c>
      <c r="C22" s="5" t="s">
        <v>47</v>
      </c>
      <c r="D22" s="5" t="s">
        <v>103</v>
      </c>
      <c r="E22" s="5" t="s">
        <v>48</v>
      </c>
      <c r="F22" s="4" t="s">
        <v>132</v>
      </c>
      <c r="G22" s="4"/>
      <c r="H22" s="4"/>
      <c r="I22" s="4"/>
      <c r="J22" s="4"/>
      <c r="K22" s="4"/>
      <c r="L22" s="4"/>
      <c r="M22" s="4"/>
      <c r="N22" s="4"/>
      <c r="O22" s="4"/>
      <c r="P22" s="4"/>
      <c r="Q22" s="4"/>
      <c r="R22" s="4"/>
    </row>
    <row r="23" spans="1:18" ht="150" x14ac:dyDescent="0.4">
      <c r="A23" s="3" t="s">
        <v>49</v>
      </c>
      <c r="B23" s="5" t="b">
        <v>0</v>
      </c>
      <c r="C23" s="5" t="s">
        <v>47</v>
      </c>
      <c r="D23" s="5" t="s">
        <v>104</v>
      </c>
      <c r="E23" s="5" t="s">
        <v>50</v>
      </c>
      <c r="F23" s="4" t="s">
        <v>133</v>
      </c>
      <c r="G23" s="4"/>
      <c r="H23" s="4"/>
      <c r="I23" s="4"/>
      <c r="J23" s="4"/>
      <c r="K23" s="4"/>
      <c r="L23" s="4"/>
      <c r="M23" s="4"/>
      <c r="N23" s="4"/>
      <c r="O23" s="4"/>
      <c r="P23" s="4"/>
      <c r="Q23" s="4"/>
      <c r="R23" s="4"/>
    </row>
    <row r="24" spans="1:18" ht="150" x14ac:dyDescent="0.4">
      <c r="A24" s="3" t="s">
        <v>51</v>
      </c>
      <c r="B24" s="5" t="b">
        <v>0</v>
      </c>
      <c r="C24" s="5" t="s">
        <v>47</v>
      </c>
      <c r="D24" s="5" t="s">
        <v>105</v>
      </c>
      <c r="E24" s="5" t="s">
        <v>52</v>
      </c>
      <c r="F24" s="4" t="s">
        <v>134</v>
      </c>
      <c r="G24" s="4"/>
      <c r="H24" s="4"/>
      <c r="I24" s="4"/>
      <c r="J24" s="4"/>
      <c r="K24" s="4"/>
      <c r="L24" s="4"/>
      <c r="M24" s="4"/>
      <c r="N24" s="4"/>
      <c r="O24" s="4"/>
      <c r="P24" s="4"/>
      <c r="Q24" s="4"/>
      <c r="R24" s="4"/>
    </row>
    <row r="25" spans="1:18" ht="150" x14ac:dyDescent="0.4">
      <c r="A25" s="3" t="s">
        <v>53</v>
      </c>
      <c r="B25" s="5" t="b">
        <v>0</v>
      </c>
      <c r="C25" s="5" t="s">
        <v>47</v>
      </c>
      <c r="D25" s="5" t="s">
        <v>106</v>
      </c>
      <c r="E25" s="5" t="s">
        <v>54</v>
      </c>
      <c r="F25" s="4" t="s">
        <v>135</v>
      </c>
      <c r="G25" s="4"/>
      <c r="H25" s="4"/>
      <c r="I25" s="4"/>
      <c r="J25" s="4"/>
      <c r="K25" s="4"/>
      <c r="L25" s="4"/>
      <c r="M25" s="4"/>
      <c r="N25" s="4"/>
      <c r="O25" s="4"/>
      <c r="P25" s="4"/>
      <c r="Q25" s="4"/>
      <c r="R25" s="4"/>
    </row>
    <row r="26" spans="1:18" ht="150" x14ac:dyDescent="0.4">
      <c r="A26" s="3" t="s">
        <v>55</v>
      </c>
      <c r="B26" s="5" t="b">
        <v>0</v>
      </c>
      <c r="C26" s="5" t="s">
        <v>47</v>
      </c>
      <c r="D26" s="5" t="s">
        <v>107</v>
      </c>
      <c r="E26" s="5" t="s">
        <v>56</v>
      </c>
      <c r="F26" s="4" t="s">
        <v>136</v>
      </c>
      <c r="G26" s="4"/>
      <c r="H26" s="4"/>
      <c r="I26" s="4"/>
      <c r="J26" s="4"/>
      <c r="K26" s="4"/>
      <c r="L26" s="4"/>
      <c r="M26" s="4"/>
      <c r="N26" s="4"/>
      <c r="O26" s="4"/>
      <c r="P26" s="4"/>
      <c r="Q26" s="4"/>
      <c r="R26" s="4"/>
    </row>
    <row r="27" spans="1:18" ht="150" x14ac:dyDescent="0.4">
      <c r="A27" s="3" t="s">
        <v>57</v>
      </c>
      <c r="B27" s="5" t="b">
        <v>0</v>
      </c>
      <c r="C27" s="5" t="s">
        <v>47</v>
      </c>
      <c r="D27" s="5" t="s">
        <v>108</v>
      </c>
      <c r="E27" s="5" t="s">
        <v>58</v>
      </c>
      <c r="F27" s="4" t="s">
        <v>137</v>
      </c>
      <c r="G27" s="4"/>
      <c r="H27" s="4"/>
      <c r="I27" s="4"/>
      <c r="J27" s="4"/>
      <c r="K27" s="4"/>
      <c r="L27" s="4"/>
      <c r="M27" s="4"/>
      <c r="N27" s="4"/>
      <c r="O27" s="4"/>
      <c r="P27" s="4"/>
      <c r="Q27" s="4"/>
      <c r="R27" s="4"/>
    </row>
    <row r="28" spans="1:18" ht="168.75" x14ac:dyDescent="0.4">
      <c r="A28" s="3" t="s">
        <v>59</v>
      </c>
      <c r="B28" s="5" t="b">
        <v>0</v>
      </c>
      <c r="C28" s="5" t="s">
        <v>47</v>
      </c>
      <c r="D28" s="5" t="s">
        <v>109</v>
      </c>
      <c r="E28" s="5" t="s">
        <v>60</v>
      </c>
      <c r="F28" s="4" t="s">
        <v>114</v>
      </c>
      <c r="G28" s="4"/>
      <c r="H28" s="4"/>
      <c r="I28" s="4"/>
      <c r="J28" s="4"/>
      <c r="K28" s="4"/>
      <c r="L28" s="4"/>
      <c r="M28" s="4"/>
      <c r="N28" s="4"/>
      <c r="O28" s="4"/>
      <c r="P28" s="4"/>
      <c r="Q28" s="4"/>
      <c r="R28" s="4"/>
    </row>
    <row r="29" spans="1:18" ht="150" x14ac:dyDescent="0.4">
      <c r="A29" s="3" t="s">
        <v>61</v>
      </c>
      <c r="B29" s="5" t="b">
        <v>0</v>
      </c>
      <c r="C29" s="5" t="s">
        <v>47</v>
      </c>
      <c r="D29" s="5" t="s">
        <v>110</v>
      </c>
      <c r="E29" s="5" t="s">
        <v>62</v>
      </c>
      <c r="F29" s="4" t="s">
        <v>115</v>
      </c>
      <c r="G29" s="4"/>
      <c r="H29" s="4"/>
      <c r="I29" s="4"/>
      <c r="J29" s="4"/>
      <c r="K29" s="4"/>
      <c r="L29" s="4"/>
      <c r="M29" s="4"/>
      <c r="N29" s="4"/>
      <c r="O29" s="4"/>
      <c r="P29" s="4"/>
      <c r="Q29" s="4"/>
      <c r="R29" s="4"/>
    </row>
    <row r="30" spans="1:18" ht="168.75" x14ac:dyDescent="0.4">
      <c r="A30" s="3" t="s">
        <v>63</v>
      </c>
      <c r="B30" s="5" t="b">
        <v>0</v>
      </c>
      <c r="C30" s="5" t="s">
        <v>47</v>
      </c>
      <c r="D30" s="5" t="s">
        <v>111</v>
      </c>
      <c r="E30" s="5" t="s">
        <v>64</v>
      </c>
      <c r="F30" s="4" t="s">
        <v>116</v>
      </c>
      <c r="G30" s="4"/>
      <c r="H30" s="4"/>
      <c r="I30" s="4"/>
      <c r="J30" s="4"/>
      <c r="K30" s="4"/>
      <c r="L30" s="4"/>
      <c r="M30" s="4"/>
      <c r="N30" s="4"/>
      <c r="O30" s="4"/>
      <c r="P30" s="4"/>
      <c r="Q30" s="4"/>
      <c r="R30" s="4"/>
    </row>
    <row r="31" spans="1:18" ht="150" x14ac:dyDescent="0.4">
      <c r="A31" s="3" t="s">
        <v>65</v>
      </c>
      <c r="B31" s="5" t="b">
        <v>0</v>
      </c>
      <c r="C31" s="5" t="s">
        <v>47</v>
      </c>
      <c r="D31" s="5" t="s">
        <v>112</v>
      </c>
      <c r="E31" s="5" t="s">
        <v>66</v>
      </c>
      <c r="F31" s="4" t="s">
        <v>117</v>
      </c>
      <c r="G31" s="4"/>
      <c r="H31" s="4"/>
      <c r="I31" s="4"/>
      <c r="J31" s="4"/>
      <c r="K31" s="4"/>
      <c r="L31" s="4"/>
      <c r="M31" s="4"/>
      <c r="N31" s="4"/>
      <c r="O31" s="4"/>
      <c r="P31" s="4"/>
      <c r="Q31" s="4"/>
      <c r="R31" s="4"/>
    </row>
  </sheetData>
  <autoFilter ref="A1:R31" xr:uid="{00000000-0001-0000-0000-000000000000}"/>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ProcessWithApi">
                <anchor moveWithCells="1" sizeWithCells="1">
                  <from>
                    <xdr:col>6</xdr:col>
                    <xdr:colOff>123825</xdr:colOff>
                    <xdr:row>0</xdr:row>
                    <xdr:rowOff>276225</xdr:rowOff>
                  </from>
                  <to>
                    <xdr:col>6</xdr:col>
                    <xdr:colOff>628650</xdr:colOff>
                    <xdr:row>0</xdr:row>
                    <xdr:rowOff>476250</xdr:rowOff>
                  </to>
                </anchor>
              </controlPr>
            </control>
          </mc:Choice>
        </mc:AlternateContent>
        <mc:AlternateContent xmlns:mc="http://schemas.openxmlformats.org/markup-compatibility/2006">
          <mc:Choice Requires="x14">
            <control shapeId="1028" r:id="rId5" name="Button 4">
              <controlPr defaultSize="0" print="0" autoFill="0" autoPict="0" macro="[0]!ThisWorkbook.ClearEvaluationResults">
                <anchor moveWithCells="1" sizeWithCells="1">
                  <from>
                    <xdr:col>7</xdr:col>
                    <xdr:colOff>57150</xdr:colOff>
                    <xdr:row>0</xdr:row>
                    <xdr:rowOff>266700</xdr:rowOff>
                  </from>
                  <to>
                    <xdr:col>7</xdr:col>
                    <xdr:colOff>590550</xdr:colOff>
                    <xdr:row>0</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内部統制評価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 Yoshizawa</dc:creator>
  <cp:lastModifiedBy>Go Yoshizawa</cp:lastModifiedBy>
  <dcterms:created xsi:type="dcterms:W3CDTF">2026-01-03T17:16:23Z</dcterms:created>
  <dcterms:modified xsi:type="dcterms:W3CDTF">2026-02-12T21:35:40Z</dcterms:modified>
</cp:coreProperties>
</file>